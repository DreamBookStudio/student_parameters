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ameter_Catalog" sheetId="2" state="visible" r:id="rId4"/>
    <sheet name="Score_Conversion" sheetId="3" state="visible" r:id="rId5"/>
    <sheet name="Scoring_Rubric" sheetId="4" state="visible" r:id="rId6"/>
    <sheet name="Data_Dictionary" sheetId="5" state="visible" r:id="rId7"/>
    <sheet name="Sample_Profile" sheetId="6" state="visible" r:id="rId8"/>
    <sheet name="Key_Referen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<sst xmlns="http://schemas.openxmlformats.org/spreadsheetml/2006/main" count="744" uniqueCount="471">
  <si>
    <t xml:space="preserve">Student Psychometric Parameter Framework</t>
  </si>
  <si>
    <t xml:space="preserve">K-12 STEM learner model  |  20 parameters, 5 domains  |  2026-07-01</t>
  </si>
  <si>
    <t xml:space="preserve">Purpose</t>
  </si>
  <si>
    <t xml:space="preserve">A research-backed set of parameters on which any K-12 learner can be quantifiably modeled so a teacher / tutoring system can adapt instruction. This workbook operationalizes the framework: catalog, scoring rubric, and data schema in one place.</t>
  </si>
  <si>
    <t xml:space="preserve">Companion files</t>
  </si>
  <si>
    <t xml:space="preserve">01_Parameter_Framework_Report.md (full justification + evidence) | 02_Scoring_Rubric.md | 03_Data_Schema.sql | References.md</t>
  </si>
  <si>
    <t xml:space="preserve">Design commitments</t>
  </si>
  <si>
    <t xml:space="preserve">1) Exclude 'learning styles' (VARK) as a debunked myth. 2) Enforce parsimony (grit-&gt;conscientiousness, need-for-cognition-&gt;openness, span/updating-&gt;working memory). 3) Be honest about measurement: 0-10 only where valid; else ordinal / profile / calibration pair.</t>
  </si>
  <si>
    <t xml:space="preserve">Two evidence anchors</t>
  </si>
  <si>
    <t xml:space="preserve">General cognitive ability - grades rho = .54 (Roth 2015). Working memory - mathematics r = .35 (Peng 2016). All 14 load-bearing citations independently verified 14/14.</t>
  </si>
  <si>
    <t xml:space="preserve">LEGEND</t>
  </si>
  <si>
    <t xml:space="preserve">Quantification</t>
  </si>
  <si>
    <t xml:space="preserve">continuous_0_10 = norm-referenced 0-10 band | ordinal_level = stage levels | profile_label = category profile | bias_resolution = calibration pair | per_skill_mastery = knowledge map</t>
  </si>
  <si>
    <t xml:space="preserve">Feasibility T1</t>
  </si>
  <si>
    <t xml:space="preserve">Embedded / stealth / short game-like task - auto-scored, fully scalable, no proctor</t>
  </si>
  <si>
    <t xml:space="preserve">Feasibility T2</t>
  </si>
  <si>
    <t xml:space="preserve">Brief self-report or short standardized subtest - low burden, self-report validity caveats</t>
  </si>
  <si>
    <t xml:space="preserve">Feasibility T3</t>
  </si>
  <si>
    <t xml:space="preserve">Requires proctored / clinical assessment - proxy inside product, not measured directly</t>
  </si>
  <si>
    <t xml:space="preserve">Confidence</t>
  </si>
  <si>
    <t xml:space="preserve">high = 2+ converging indicators/standardized subtest | medium = one good task | low = single short task or young-child self-report</t>
  </si>
  <si>
    <t xml:space="preserve">AT A GLANCE (auto-computed from Parameter_Catalog)</t>
  </si>
  <si>
    <t xml:space="preserve">Total parameters</t>
  </si>
  <si>
    <t xml:space="preserve">MVP core parameters</t>
  </si>
  <si>
    <t xml:space="preserve">Tier 1 (scalable/stealth)</t>
  </si>
  <si>
    <t xml:space="preserve">Tier 2 (self-report/subtest)</t>
  </si>
  <si>
    <t xml:space="preserve">Malleable (trainable)</t>
  </si>
  <si>
    <t xml:space="preserve">Parameter Catalog</t>
  </si>
  <si>
    <t xml:space="preserve">The 20 parameters. Domains: A Core Cognitive | B Verbal/Knowledge | C STEM Aptitudes | D EF/Metacognition | E Motivation/Affect</t>
  </si>
  <si>
    <t xml:space="preserve">Code</t>
  </si>
  <si>
    <t xml:space="preserve">Parameter</t>
  </si>
  <si>
    <t xml:space="preserve">Domain</t>
  </si>
  <si>
    <t xml:space="preserve">Scale</t>
  </si>
  <si>
    <t xml:space="preserve">Feasibility Tier</t>
  </si>
  <si>
    <t xml:space="preserve">Malleable</t>
  </si>
  <si>
    <t xml:space="preserve">Higher=Better</t>
  </si>
  <si>
    <t xml:space="preserve">MVP Core</t>
  </si>
  <si>
    <t xml:space="preserve">Absorbs</t>
  </si>
  <si>
    <t xml:space="preserve">Anchor Evidence (effect size)</t>
  </si>
  <si>
    <t xml:space="preserve">Primary Instruments</t>
  </si>
  <si>
    <t xml:space="preserve">A1</t>
  </si>
  <si>
    <t xml:space="preserve">Fluid Reasoning (Gf)</t>
  </si>
  <si>
    <t xml:space="preserve">A Core Cognitive</t>
  </si>
  <si>
    <t xml:space="preserve">continuous_0_10</t>
  </si>
  <si>
    <t xml:space="preserve">0-10</t>
  </si>
  <si>
    <t xml:space="preserve">T2_selfreport_subtest</t>
  </si>
  <si>
    <t xml:space="preserve">No</t>
  </si>
  <si>
    <t xml:space="preserve">Yes</t>
  </si>
  <si>
    <t xml:space="preserve">g-grades rho=.54 (Roth 2015)</t>
  </si>
  <si>
    <t xml:space="preserve">Raven's/Matrix reasoning; WISC-V FRI; WJ-IV Gf</t>
  </si>
  <si>
    <t xml:space="preserve">A2</t>
  </si>
  <si>
    <t xml:space="preserve">Working Memory</t>
  </si>
  <si>
    <t xml:space="preserve">T1_embedded_stealth</t>
  </si>
  <si>
    <t xml:space="preserve">STM span; WM-updating</t>
  </si>
  <si>
    <t xml:space="preserve">WM-math r=.35 (Peng 2016)</t>
  </si>
  <si>
    <t xml:space="preserve">Complex span (operation/reading); backward digit; Corsi</t>
  </si>
  <si>
    <t xml:space="preserve">A3</t>
  </si>
  <si>
    <t xml:space="preserve">Processing Speed</t>
  </si>
  <si>
    <t xml:space="preserve">dev. driver of WM/reasoning (Kail 1991)</t>
  </si>
  <si>
    <t xml:space="preserve">Symbol Search; Coding; letter-pattern matching</t>
  </si>
  <si>
    <t xml:space="preserve">A4</t>
  </si>
  <si>
    <t xml:space="preserve">Learning Efficiency (Glr)</t>
  </si>
  <si>
    <t xml:space="preserve">RAN-reading r=.43 (McWeeny 2022)</t>
  </si>
  <si>
    <t xml:space="preserve">Paired-associate (trials-to-criterion); RAN; recognition</t>
  </si>
  <si>
    <t xml:space="preserve">A5</t>
  </si>
  <si>
    <t xml:space="preserve">Attentional Control</t>
  </si>
  <si>
    <t xml:space="preserve">sustained attn-achievement (Keller 2023)</t>
  </si>
  <si>
    <t xml:space="preserve">Flanker; Go/No-Go; CPT; teacher rating</t>
  </si>
  <si>
    <t xml:space="preserve">B1</t>
  </si>
  <si>
    <t xml:space="preserve">Crystallized/Verbal Knowledge (Gc)</t>
  </si>
  <si>
    <t xml:space="preserve">B Verbal/Knowledge</t>
  </si>
  <si>
    <t xml:space="preserve">verbal&gt;nonverbal rho=.53/.44 (Roth 2015)</t>
  </si>
  <si>
    <t xml:space="preserve">Vocabulary MC; PPVT-5; WJ-IV Gc</t>
  </si>
  <si>
    <t xml:space="preserve">B2</t>
  </si>
  <si>
    <t xml:space="preserve">Reading Comprehension</t>
  </si>
  <si>
    <t xml:space="preserve">predicts math word problems (Vilenius 2008)</t>
  </si>
  <si>
    <t xml:space="preserve">Maze/Cloze CBM; Gates-MacGinitie; Lexile</t>
  </si>
  <si>
    <t xml:space="preserve">B3</t>
  </si>
  <si>
    <t xml:space="preserve">Prior STEM Domain Knowledge</t>
  </si>
  <si>
    <t xml:space="preserve">per_skill_mastery</t>
  </si>
  <si>
    <t xml:space="preserve">map</t>
  </si>
  <si>
    <t xml:space="preserve">early math = top predictor (Duncan 2007)</t>
  </si>
  <si>
    <t xml:space="preserve">Adaptive pretest / knowledge-map; CBM</t>
  </si>
  <si>
    <t xml:space="preserve">C1</t>
  </si>
  <si>
    <t xml:space="preserve">Number Sense / Quantitative Reasoning</t>
  </si>
  <si>
    <t xml:space="preserve">C STEM Aptitudes</t>
  </si>
  <si>
    <t xml:space="preserve">ANS indep. of IQ (Halberda 2008); symbolic r=.30</t>
  </si>
  <si>
    <t xml:space="preserve">Symbolic/nonsymbolic comparison; number-line est.</t>
  </si>
  <si>
    <t xml:space="preserve">C2</t>
  </si>
  <si>
    <t xml:space="preserve">Spatial Ability</t>
  </si>
  <si>
    <t xml:space="preserve">predicts STEM beyond math+verbal (Wai 2009); trainable g=.47 (Uttal 2013)</t>
  </si>
  <si>
    <t xml:space="preserve">Mental Rotation Test; PSVT:R; paper folding; Corsi</t>
  </si>
  <si>
    <t xml:space="preserve">C3</t>
  </si>
  <si>
    <t xml:space="preserve">Scientific Reasoning</t>
  </si>
  <si>
    <t xml:space="preserve">ordinal_level</t>
  </si>
  <si>
    <t xml:space="preserve">Concrete/Trans/Formal</t>
  </si>
  <si>
    <t xml:space="preserve">CVS teachable, transfers (Klahr 2004)</t>
  </si>
  <si>
    <t xml:space="preserve">Lawson CTSR; CVS experiment-design task</t>
  </si>
  <si>
    <t xml:space="preserve">D1</t>
  </si>
  <si>
    <t xml:space="preserve">Executive Function (inhibition+flexibility)</t>
  </si>
  <si>
    <t xml:space="preserve">D EF/Metacognition</t>
  </si>
  <si>
    <t xml:space="preserve">WM-updating</t>
  </si>
  <si>
    <t xml:space="preserve">EF-achievement N~64k (Diamond 2013; Best 2011)</t>
  </si>
  <si>
    <t xml:space="preserve">Flanker/Stroop; Go/No-Go; DCCS; task-switch</t>
  </si>
  <si>
    <t xml:space="preserve">D2</t>
  </si>
  <si>
    <t xml:space="preserve">Metacognition &amp; Self-Regulated Learning</t>
  </si>
  <si>
    <t xml:space="preserve">metacognition-achievement r=.20 (Dent 2016)</t>
  </si>
  <si>
    <t xml:space="preserve">Behavioral traces; Jr. MAI; MSLQ; think-aloud</t>
  </si>
  <si>
    <t xml:space="preserve">D3</t>
  </si>
  <si>
    <t xml:space="preserve">Monitoring Calibration</t>
  </si>
  <si>
    <t xml:space="preserve">bias_resolution</t>
  </si>
  <si>
    <t xml:space="preserve">bias + 0-10</t>
  </si>
  <si>
    <t xml:space="preserve">metacomprehension acc ~r=.24 (Schraw 2009)</t>
  </si>
  <si>
    <t xml:space="preserve">Item confidence judgments vs. auto-scored accuracy</t>
  </si>
  <si>
    <t xml:space="preserve">E1</t>
  </si>
  <si>
    <t xml:space="preserve">Academic Self-Efficacy</t>
  </si>
  <si>
    <t xml:space="preserve">E Motivation/Affect</t>
  </si>
  <si>
    <t xml:space="preserve">self-efficacy-performance r=.38 (Multon 1991)</t>
  </si>
  <si>
    <t xml:space="preserve">Domain-specific efficacy scale; MSLQ subscale</t>
  </si>
  <si>
    <t xml:space="preserve">E2</t>
  </si>
  <si>
    <t xml:space="preserve">Motivation Quality (SDT autonomy)</t>
  </si>
  <si>
    <t xml:space="preserve">profile_label</t>
  </si>
  <si>
    <t xml:space="preserve">RAI + profile</t>
  </si>
  <si>
    <t xml:space="preserve">autonomous motiv.-deep learning (Ryan &amp; Deci 2020)</t>
  </si>
  <si>
    <t xml:space="preserve">SRQ-A; Intrinsic Motivation Inventory; needs scales</t>
  </si>
  <si>
    <t xml:space="preserve">E3</t>
  </si>
  <si>
    <t xml:space="preserve">Conscientiousness</t>
  </si>
  <si>
    <t xml:space="preserve">grit</t>
  </si>
  <si>
    <t xml:space="preserve">strongest Big-Five r=.22 (Poropat 2009)</t>
  </si>
  <si>
    <t xml:space="preserve">BFI-2 / BFQ-C (informant for &lt;10s)</t>
  </si>
  <si>
    <t xml:space="preserve">E4</t>
  </si>
  <si>
    <t xml:space="preserve">Openness / Curiosity</t>
  </si>
  <si>
    <t xml:space="preserve">need for cognition</t>
  </si>
  <si>
    <t xml:space="preserve">Openness r=.10-.12 (Poropat 2009)</t>
  </si>
  <si>
    <t xml:space="preserve">BFI-2 Openness facets; curiosity scale</t>
  </si>
  <si>
    <t xml:space="preserve">E5</t>
  </si>
  <si>
    <t xml:space="preserve">Academic / Math Anxiety</t>
  </si>
  <si>
    <t xml:space="preserve">0-10 (risk)</t>
  </si>
  <si>
    <t xml:space="preserve">math anxiety-achievement r=-.28 (Barroso 2021)</t>
  </si>
  <si>
    <t xml:space="preserve">AMAS (9-item); MARS-E/A; + latency markers</t>
  </si>
  <si>
    <t xml:space="preserve">E6</t>
  </si>
  <si>
    <t xml:space="preserve">Academic Engagement (behavioral)</t>
  </si>
  <si>
    <t xml:space="preserve">behavioral engagement-achievement (Fredricks 2004)</t>
  </si>
  <si>
    <t xml:space="preserve">Behavioral telemetry; EvsD; SEI</t>
  </si>
  <si>
    <t xml:space="preserve">Master 0-10 Conversion</t>
  </si>
  <si>
    <t xml:space="preserve">For continuous parameters only. Norm-referenced and age-adjusted. Store percentile+raw+confidence, display the band.</t>
  </si>
  <si>
    <t xml:space="preserve">0-10 Band</t>
  </si>
  <si>
    <t xml:space="preserve">Percentile (age peers)</t>
  </si>
  <si>
    <t xml:space="preserve">Standard Score (M=100,SD=15)</t>
  </si>
  <si>
    <t xml:space="preserve">Label</t>
  </si>
  <si>
    <t xml:space="preserve">Generic instructional stance</t>
  </si>
  <si>
    <t xml:space="preserve">&lt; 2</t>
  </si>
  <si>
    <t xml:space="preserve">&lt; 70</t>
  </si>
  <si>
    <t xml:space="preserve">Well below age level</t>
  </si>
  <si>
    <t xml:space="preserve">Scaffold heavily; pre-teach prerequisites; monitor</t>
  </si>
  <si>
    <t xml:space="preserve">2 - 8</t>
  </si>
  <si>
    <t xml:space="preserve">70 - 79</t>
  </si>
  <si>
    <t xml:space="preserve">Scaffold heavily; reduce load</t>
  </si>
  <si>
    <t xml:space="preserve">9 - 15</t>
  </si>
  <si>
    <t xml:space="preserve">80 - 85</t>
  </si>
  <si>
    <t xml:space="preserve">Below age level</t>
  </si>
  <si>
    <t xml:space="preserve">Extra support; targeted practice</t>
  </si>
  <si>
    <t xml:space="preserve">16 - 24</t>
  </si>
  <si>
    <t xml:space="preserve">86 - 89</t>
  </si>
  <si>
    <t xml:space="preserve">Targeted support; guided practice</t>
  </si>
  <si>
    <t xml:space="preserve">25 - 39</t>
  </si>
  <si>
    <t xml:space="preserve">90 - 96</t>
  </si>
  <si>
    <t xml:space="preserve">Low-typical</t>
  </si>
  <si>
    <t xml:space="preserve">Standard instruction; light differentiation</t>
  </si>
  <si>
    <t xml:space="preserve">40 - 59</t>
  </si>
  <si>
    <t xml:space="preserve">97 - 103</t>
  </si>
  <si>
    <t xml:space="preserve">Age-typical (median)</t>
  </si>
  <si>
    <t xml:space="preserve">Standard grade-level instruction</t>
  </si>
  <si>
    <t xml:space="preserve">60 - 74</t>
  </si>
  <si>
    <t xml:space="preserve">104 - 109</t>
  </si>
  <si>
    <t xml:space="preserve">High-typical</t>
  </si>
  <si>
    <t xml:space="preserve">Standard; mild extension</t>
  </si>
  <si>
    <t xml:space="preserve">75 - 83</t>
  </si>
  <si>
    <t xml:space="preserve">110 - 114</t>
  </si>
  <si>
    <t xml:space="preserve">Above age level</t>
  </si>
  <si>
    <t xml:space="preserve">Extend; reduce scaffolding</t>
  </si>
  <si>
    <t xml:space="preserve">84 - 90</t>
  </si>
  <si>
    <t xml:space="preserve">115 - 119</t>
  </si>
  <si>
    <t xml:space="preserve">Extend; accelerate</t>
  </si>
  <si>
    <t xml:space="preserve">91 - 97</t>
  </si>
  <si>
    <t xml:space="preserve">120 - 129</t>
  </si>
  <si>
    <t xml:space="preserve">Well above age level</t>
  </si>
  <si>
    <t xml:space="preserve">Accelerate; open challenges</t>
  </si>
  <si>
    <t xml:space="preserve">&gt; 98</t>
  </si>
  <si>
    <t xml:space="preserve">&gt;= 130</t>
  </si>
  <si>
    <t xml:space="preserve">Accelerate; use as lever for weaker areas</t>
  </si>
  <si>
    <t xml:space="preserve">Scoring Rubric</t>
  </si>
  <si>
    <t xml:space="preserve">Behavioral anchors + instructional implications. Categorical parameters use their own level definitions (see note).</t>
  </si>
  <si>
    <t xml:space="preserve">Low band / Level 1 (0-3)</t>
  </si>
  <si>
    <t xml:space="preserve">Typical / Level 2 (4-6)</t>
  </si>
  <si>
    <t xml:space="preserve">High / Level 3 (7-10)</t>
  </si>
  <si>
    <t xml:space="preserve">Scoring note</t>
  </si>
  <si>
    <t xml:space="preserve">Struggles w/ novel multi-step; needs worked examples</t>
  </si>
  <si>
    <t xml:space="preserve">Handles grade-level novel problems w/ support</t>
  </si>
  <si>
    <t xml:space="preserve">Rapid rule inference; strong transfer; enjoys puzzles</t>
  </si>
  <si>
    <t xml:space="preserve">Norm-referenced; triangulate (matrix under-predicts grades)</t>
  </si>
  <si>
    <t xml:space="preserve">Loses track mid-problem; drops steps</t>
  </si>
  <si>
    <t xml:space="preserve">Holds typical multi-step problems</t>
  </si>
  <si>
    <t xml:space="preserve">Juggles many elements mentally</t>
  </si>
  <si>
    <t xml:space="preserve">Use complex span, NOT n-back</t>
  </si>
  <si>
    <t xml:space="preserve">Slow (not necessarily inaccurate)</t>
  </si>
  <si>
    <t xml:space="preserve">Age-typical fluency</t>
  </si>
  <si>
    <t xml:space="preserve">Fast fluent retrieval/scanning</t>
  </si>
  <si>
    <t xml:space="preserve">Standardize input device; separate speed from accuracy</t>
  </si>
  <si>
    <t xml:space="preserve">Many exposures to retain; forgets across sessions</t>
  </si>
  <si>
    <t xml:space="preserve">Typical acquisition/retention</t>
  </si>
  <si>
    <t xml:space="preserve">Acquires+retains in few exposures</t>
  </si>
  <si>
    <t xml:space="preserve">Paired-associate trials-to-criterion; recall!=recognition</t>
  </si>
  <si>
    <t xml:space="preserve">Distractible; lapse errors</t>
  </si>
  <si>
    <t xml:space="preserve">Sustains age-typical periods</t>
  </si>
  <si>
    <t xml:space="preserve">Sustains long/complex tasks</t>
  </si>
  <si>
    <t xml:space="preserve">Pair task + brief rating; heavy overlap w/ WM</t>
  </si>
  <si>
    <t xml:space="preserve">Crystallized/Verbal (Gc)</t>
  </si>
  <si>
    <t xml:space="preserve">Limited vocab/background; misses terms</t>
  </si>
  <si>
    <t xml:space="preserve">Age-typical knowledge</t>
  </si>
  <si>
    <t xml:space="preserve">Broad vocabulary + knowledge</t>
  </si>
  <si>
    <t xml:space="preserve">May reflect opportunity-to-learn, not ability</t>
  </si>
  <si>
    <t xml:space="preserve">Decodes but misses meaning; fails word problems</t>
  </si>
  <si>
    <t xml:space="preserve">Grade-level comprehension</t>
  </si>
  <si>
    <t xml:space="preserve">Strong comprehension of dense text</t>
  </si>
  <si>
    <t xml:space="preserve">Maze/cloze scalable; gates STEM word problems</t>
  </si>
  <si>
    <t xml:space="preserve">Prior STEM Knowledge</t>
  </si>
  <si>
    <t xml:space="preserve">per-skill map</t>
  </si>
  <si>
    <t xml:space="preserve">Not yet (0-39%) / Developing (40-69%)</t>
  </si>
  <si>
    <t xml:space="preserve">Proficient (70-89%)</t>
  </si>
  <si>
    <t xml:space="preserve">Mastered (90-100%)</t>
  </si>
  <si>
    <t xml:space="preserve">Score per prerequisite skill, NOT one number; avoid circularity</t>
  </si>
  <si>
    <t xml:space="preserve">Number Sense</t>
  </si>
  <si>
    <t xml:space="preserve">Weak magnitude intuition; nonlinear number line</t>
  </si>
  <si>
    <t xml:space="preserve">Typical number sense</t>
  </si>
  <si>
    <t xml:space="preserve">Sharp magnitude intuition + estimation</t>
  </si>
  <si>
    <t xml:space="preserve">Prioritize symbolic tasks (stronger predictor)</t>
  </si>
  <si>
    <t xml:space="preserve">Struggles rotation/visualization</t>
  </si>
  <si>
    <t xml:space="preserve">Typical spatial skill</t>
  </si>
  <si>
    <t xml:space="preserve">Strong visualization/rotation</t>
  </si>
  <si>
    <t xml:space="preserve">MALLEABLE (g=.47): train it; watch instrument copyright</t>
  </si>
  <si>
    <t xml:space="preserve">ordinal</t>
  </si>
  <si>
    <t xml:space="preserve">Concrete: confounds variables</t>
  </si>
  <si>
    <t xml:space="preserve">Transitional: inconsistent CVS</t>
  </si>
  <si>
    <t xml:space="preserve">Formal: systematic CVS + hypothetico-deductive</t>
  </si>
  <si>
    <t xml:space="preserve">Genuine stage construct; map from Lawson/CVS task</t>
  </si>
  <si>
    <t xml:space="preserve">Executive Function</t>
  </si>
  <si>
    <t xml:space="preserve">Impulsive; blurts intuitive-wrong; rigid switching</t>
  </si>
  <si>
    <t xml:space="preserve">Typical control</t>
  </si>
  <si>
    <t xml:space="preserve">Inhibits errors; flexible shifting</t>
  </si>
  <si>
    <t xml:space="preserve">Composite of tasks; down-weight flexibility facet</t>
  </si>
  <si>
    <t xml:space="preserve">Metacognition &amp; SRL</t>
  </si>
  <si>
    <t xml:space="preserve">No plan/monitor/check; dives in</t>
  </si>
  <si>
    <t xml:space="preserve">Some planning w/ prompting</t>
  </si>
  <si>
    <t xml:space="preserve">Plans, monitors, self-corrects independently</t>
  </si>
  <si>
    <t xml:space="preserve">Prefer behavioral traces for young learners</t>
  </si>
  <si>
    <t xml:space="preserve">bias + resolution</t>
  </si>
  <si>
    <t xml:space="preserve">Overconfident (bias&gt;+1): confront w/ feedback</t>
  </si>
  <si>
    <t xml:space="preserve">Well-calibrated (-1..+1): trust self-assessment</t>
  </si>
  <si>
    <t xml:space="preserve">Underconfident (bias&lt;-1): build confidence</t>
  </si>
  <si>
    <t xml:space="preserve">Report BIAS category + RESOLUTION 0-10; not one number</t>
  </si>
  <si>
    <t xml:space="preserve">'I can't'; avoids challenge; quits early</t>
  </si>
  <si>
    <t xml:space="preserve">Task-dependent confidence</t>
  </si>
  <si>
    <t xml:space="preserve">Confident; takes on hard tasks</t>
  </si>
  <si>
    <t xml:space="preserve">Per domain; engineer mastery experiences if low</t>
  </si>
  <si>
    <t xml:space="preserve">Motivation Quality (SDT)</t>
  </si>
  <si>
    <t xml:space="preserve">profile</t>
  </si>
  <si>
    <t xml:space="preserve">Amotivated (0-2) / Controlled (3-5)</t>
  </si>
  <si>
    <t xml:space="preserve">Mixed (6-7)</t>
  </si>
  <si>
    <t xml:space="preserve">Autonomous (8-10)</t>
  </si>
  <si>
    <t xml:space="preserve">Report RAI + dominant-type PROFILE, not just magnitude</t>
  </si>
  <si>
    <t xml:space="preserve">Disorganized; inconsistent effort</t>
  </si>
  <si>
    <t xml:space="preserve">Typically reliable</t>
  </si>
  <si>
    <t xml:space="preserve">Organized, diligent, persistent</t>
  </si>
  <si>
    <t xml:space="preserve">Absorbs grit; informant report for &lt;10s</t>
  </si>
  <si>
    <t xml:space="preserve">Prefers routine; avoids novel/abstract</t>
  </si>
  <si>
    <t xml:space="preserve">Typical curiosity</t>
  </si>
  <si>
    <t xml:space="preserve">Seeks novelty, complexity, big questions</t>
  </si>
  <si>
    <t xml:space="preserve">Lower-priority; absorbs need-for-cognition</t>
  </si>
  <si>
    <t xml:space="preserve">0-10 (RISK)</t>
  </si>
  <si>
    <t xml:space="preserve">Low anxiety (0-3): calm</t>
  </si>
  <si>
    <t xml:space="preserve">Moderate (4-6): some avoidance</t>
  </si>
  <si>
    <t xml:space="preserve">High (7-10) FLAG: freezes, avoids, WM disrupted</t>
  </si>
  <si>
    <t xml:space="preserve">HIGH = risk; don't read low math score as low ability</t>
  </si>
  <si>
    <t xml:space="preserve">Academic Engagement</t>
  </si>
  <si>
    <t xml:space="preserve">Low time-on-task; abandons; no help-seeking</t>
  </si>
  <si>
    <t xml:space="preserve">Typical involvement</t>
  </si>
  <si>
    <t xml:space="preserve">High persistence; active help-seeking</t>
  </si>
  <si>
    <t xml:space="preserve">Outcome signal; read w/ E1/E2/E5, don't double-count</t>
  </si>
  <si>
    <t xml:space="preserve">Data Dictionary (schema summary)</t>
  </si>
  <si>
    <t xml:space="preserve">Full DDL in 03_Data_Schema.sql (PostgreSQL). Identity separated from scores; all scores timestamped for growth tracking.</t>
  </si>
  <si>
    <t xml:space="preserve">Table</t>
  </si>
  <si>
    <t xml:space="preserve">Field</t>
  </si>
  <si>
    <t xml:space="preserve">Type</t>
  </si>
  <si>
    <t xml:space="preserve">Description</t>
  </si>
  <si>
    <t xml:space="preserve">student</t>
  </si>
  <si>
    <t xml:space="preserve">student_id</t>
  </si>
  <si>
    <t xml:space="preserve">UUID</t>
  </si>
  <si>
    <t xml:space="preserve">Primary key (pseudonymous)</t>
  </si>
  <si>
    <t xml:space="preserve">external_ref</t>
  </si>
  <si>
    <t xml:space="preserve">TEXT</t>
  </si>
  <si>
    <t xml:space="preserve">Pseudonymous link to SIS; PII kept elsewhere</t>
  </si>
  <si>
    <t xml:space="preserve">birth_year</t>
  </si>
  <si>
    <t xml:space="preserve">SMALLINT</t>
  </si>
  <si>
    <t xml:space="preserve">Year only, for age-norming without full DOB</t>
  </si>
  <si>
    <t xml:space="preserve">grade_level</t>
  </si>
  <si>
    <t xml:space="preserve">Current grade</t>
  </si>
  <si>
    <t xml:space="preserve">parameter</t>
  </si>
  <si>
    <t xml:space="preserve">parameter_id / code</t>
  </si>
  <si>
    <t xml:space="preserve">SMALLINT / TEXT</t>
  </si>
  <si>
    <t xml:space="preserve">Catalog PK and code (A1..E6)</t>
  </si>
  <si>
    <t xml:space="preserve">quantification</t>
  </si>
  <si>
    <t xml:space="preserve">ENUM</t>
  </si>
  <si>
    <t xml:space="preserve">continuous_0_10 | ordinal_level | profile_label | bias_resolution | per_skill_mastery</t>
  </si>
  <si>
    <t xml:space="preserve">feasibility</t>
  </si>
  <si>
    <t xml:space="preserve">T1_embedded_stealth | T2_selfreport_subtest | T3_proctored_clinical</t>
  </si>
  <si>
    <t xml:space="preserve">is_malleable / higher_is_better / mvp_core</t>
  </si>
  <si>
    <t xml:space="preserve">BOOL</t>
  </si>
  <si>
    <t xml:space="preserve">Trainable? / high=good? / MVP-10 member?</t>
  </si>
  <si>
    <t xml:space="preserve">skill</t>
  </si>
  <si>
    <t xml:space="preserve">skill_id / code</t>
  </si>
  <si>
    <t xml:space="preserve">SERIAL / TEXT</t>
  </si>
  <si>
    <t xml:space="preserve">Prerequisite skill for prior-knowledge map</t>
  </si>
  <si>
    <t xml:space="preserve">subject / topic / grade_band</t>
  </si>
  <si>
    <t xml:space="preserve">math/physics/... ; topic ; e.g. G4-G6</t>
  </si>
  <si>
    <t xml:space="preserve">instrument</t>
  </si>
  <si>
    <t xml:space="preserve">name / method</t>
  </si>
  <si>
    <t xml:space="preserve">TEXT / ENUM</t>
  </si>
  <si>
    <t xml:space="preserve">Measurement tool; performance_task|adaptive_test|self_report|informant_report|behavioral_trace|standardized_subtest</t>
  </si>
  <si>
    <t xml:space="preserve">min_age / max_age / reliability</t>
  </si>
  <si>
    <t xml:space="preserve">SMALLINT / NUMERIC</t>
  </si>
  <si>
    <t xml:space="preserve">Valid age range; published omega/alpha</t>
  </si>
  <si>
    <t xml:space="preserve">assessment_session</t>
  </si>
  <si>
    <t xml:space="preserve">session_id / student_id</t>
  </si>
  <si>
    <t xml:space="preserve">One sitting; 1+ measurements</t>
  </si>
  <si>
    <t xml:space="preserve">device_type</t>
  </si>
  <si>
    <t xml:space="preserve">For processing-speed invariance (touch/mouse/kbd)</t>
  </si>
  <si>
    <t xml:space="preserve">measurement</t>
  </si>
  <si>
    <t xml:space="preserve">measurement_id / parameter_id</t>
  </si>
  <si>
    <t xml:space="preserve">UUID / SMALLINT</t>
  </si>
  <si>
    <t xml:space="preserve">Core fact: one scored result per parameter per session</t>
  </si>
  <si>
    <t xml:space="preserve">raw_value / standard_score / percentile</t>
  </si>
  <si>
    <t xml:space="preserve">NUMERIC</t>
  </si>
  <si>
    <t xml:space="preserve">Evidence: keep even when only band is displayed</t>
  </si>
  <si>
    <t xml:space="preserve">score_0_10</t>
  </si>
  <si>
    <t xml:space="preserve">SMALLINT 0-10</t>
  </si>
  <si>
    <t xml:space="preserve">Continuous parameters</t>
  </si>
  <si>
    <t xml:space="preserve">level_label / level_rank</t>
  </si>
  <si>
    <t xml:space="preserve">TEXT / SMALLINT</t>
  </si>
  <si>
    <t xml:space="preserve">Ordinal &amp; profile parameters (C3, E2)</t>
  </si>
  <si>
    <t xml:space="preserve">calib_bias / resolution_0_10</t>
  </si>
  <si>
    <t xml:space="preserve">ENUM / SMALLINT</t>
  </si>
  <si>
    <t xml:space="preserve">Calibration (D3): bias category + resolution</t>
  </si>
  <si>
    <t xml:space="preserve">confidence / is_flag</t>
  </si>
  <si>
    <t xml:space="preserve">ENUM / BOOL</t>
  </si>
  <si>
    <t xml:space="preserve">low|medium|high ; risk flag (e.g. high anxiety)</t>
  </si>
  <si>
    <t xml:space="preserve">informant</t>
  </si>
  <si>
    <t xml:space="preserve">student|teacher|parent|system (young-child support)</t>
  </si>
  <si>
    <t xml:space="preserve">prior_knowledge</t>
  </si>
  <si>
    <t xml:space="preserve">skill_id / mastery / proficiency_pct</t>
  </si>
  <si>
    <t xml:space="preserve">INT / ENUM / NUMERIC</t>
  </si>
  <si>
    <t xml:space="preserve">Per-skill knowledge map (B3), timestamped</t>
  </si>
  <si>
    <t xml:space="preserve">v_student_profile_current</t>
  </si>
  <si>
    <t xml:space="preserve">(view)</t>
  </si>
  <si>
    <t xml:space="preserve">VIEW</t>
  </si>
  <si>
    <t xml:space="preserve">Latest measurement per student per parameter</t>
  </si>
  <si>
    <t xml:space="preserve">v_prior_knowledge_current</t>
  </si>
  <si>
    <t xml:space="preserve">Current mastery map per student</t>
  </si>
  <si>
    <t xml:space="preserve">Sample Student Profile (illustrative)</t>
  </si>
  <si>
    <t xml:space="preserve">Example only - shows how the model lands for one learner. Read as a PROFILE, not isolated scores.</t>
  </si>
  <si>
    <t xml:space="preserve">Score / Level</t>
  </si>
  <si>
    <t xml:space="preserve">Percentile</t>
  </si>
  <si>
    <t xml:space="preserve">Flag</t>
  </si>
  <si>
    <t xml:space="preserve">Instructional takeaway</t>
  </si>
  <si>
    <t xml:space="preserve">7 / 10</t>
  </si>
  <si>
    <t xml:space="preserve">78</t>
  </si>
  <si>
    <t xml:space="preserve">high</t>
  </si>
  <si>
    <t xml:space="preserve">Strong reasoner - give open-ended challenges</t>
  </si>
  <si>
    <t xml:space="preserve">4 / 10</t>
  </si>
  <si>
    <t xml:space="preserve">32</t>
  </si>
  <si>
    <t xml:space="preserve">Chunk tasks; externalize steps; provide checklists</t>
  </si>
  <si>
    <t xml:space="preserve">5 / 10</t>
  </si>
  <si>
    <t xml:space="preserve">50</t>
  </si>
  <si>
    <t xml:space="preserve">medium</t>
  </si>
  <si>
    <t xml:space="preserve">Age-typical; extend time on timed tasks if needed</t>
  </si>
  <si>
    <t xml:space="preserve">Learning Efficiency</t>
  </si>
  <si>
    <t xml:space="preserve">6 / 10</t>
  </si>
  <si>
    <t xml:space="preserve">62</t>
  </si>
  <si>
    <t xml:space="preserve">Typical review cadence</t>
  </si>
  <si>
    <t xml:space="preserve">30</t>
  </si>
  <si>
    <t xml:space="preserve">Short segments; minimize distractors</t>
  </si>
  <si>
    <t xml:space="preserve">48</t>
  </si>
  <si>
    <t xml:space="preserve">Grade-level; light word-problem parsing support</t>
  </si>
  <si>
    <t xml:space="preserve">Developing (Fractions 58%)</t>
  </si>
  <si>
    <t xml:space="preserve">-</t>
  </si>
  <si>
    <t xml:space="preserve">Pre-teach fraction equivalence before ratios</t>
  </si>
  <si>
    <t xml:space="preserve">60</t>
  </si>
  <si>
    <t xml:space="preserve">Typical; push toward proportional reasoning</t>
  </si>
  <si>
    <t xml:space="preserve">3 / 10</t>
  </si>
  <si>
    <t xml:space="preserve">18</t>
  </si>
  <si>
    <t xml:space="preserve">FLAG-LOW</t>
  </si>
  <si>
    <t xml:space="preserve">MALLEABLE - train w/ sketching, manipulatives, rotation</t>
  </si>
  <si>
    <t xml:space="preserve">Transitional</t>
  </si>
  <si>
    <t xml:space="preserve">Scaffold experiment design; 'what's held constant?'</t>
  </si>
  <si>
    <t xml:space="preserve">34</t>
  </si>
  <si>
    <t xml:space="preserve">Model think-alouds; teach plan-monitor-check</t>
  </si>
  <si>
    <t xml:space="preserve">Overconfident / res 5</t>
  </si>
  <si>
    <t xml:space="preserve">FLAG</t>
  </si>
  <si>
    <t xml:space="preserve">Require justification before answering; error review</t>
  </si>
  <si>
    <t xml:space="preserve">Academic Self-Efficacy (math)</t>
  </si>
  <si>
    <t xml:space="preserve">20</t>
  </si>
  <si>
    <t xml:space="preserve">Engineer early mastery wins; process praise</t>
  </si>
  <si>
    <t xml:space="preserve">Motivation Quality</t>
  </si>
  <si>
    <t xml:space="preserve">Controlled (RAI 4)</t>
  </si>
  <si>
    <t xml:space="preserve">low</t>
  </si>
  <si>
    <t xml:space="preserve">Add choice/autonomy; connect to relevance</t>
  </si>
  <si>
    <t xml:space="preserve">Reliable; standard structure</t>
  </si>
  <si>
    <t xml:space="preserve">Math Anxiety</t>
  </si>
  <si>
    <t xml:space="preserve">8 / 10</t>
  </si>
  <si>
    <t xml:space="preserve">FLAG-RISK</t>
  </si>
  <si>
    <t xml:space="preserve">HIGH - remove time pressure; build efficacy first</t>
  </si>
  <si>
    <t xml:space="preserve">Typical; sustain w/ right-level challenge</t>
  </si>
  <si>
    <t xml:space="preserve">Key References (load-bearing)</t>
  </si>
  <si>
    <t xml:space="preserve">V = independently fact-checked this project (14/14 passed). Full list in References.md.</t>
  </si>
  <si>
    <t xml:space="preserve">Verify</t>
  </si>
  <si>
    <t xml:space="preserve">Citation</t>
  </si>
  <si>
    <t xml:space="preserve">Finding / effect size</t>
  </si>
  <si>
    <t xml:space="preserve">URL</t>
  </si>
  <si>
    <t xml:space="preserve">V</t>
  </si>
  <si>
    <t xml:space="preserve">Roth et al. (2015), Intelligence</t>
  </si>
  <si>
    <t xml:space="preserve">Intelligence-school grades rho=.54</t>
  </si>
  <si>
    <t xml:space="preserve">https://www.sciencedirect.com/science/article/abs/pii/S0160289615001269</t>
  </si>
  <si>
    <t xml:space="preserve">Peng et al. (2016), J. Educational Psychology</t>
  </si>
  <si>
    <t xml:space="preserve">Working memory-math r=.35</t>
  </si>
  <si>
    <t xml:space="preserve">https://eric.ed.gov/?id=EJ1099299</t>
  </si>
  <si>
    <t xml:space="preserve">Poropat (2009), Psychological Bulletin</t>
  </si>
  <si>
    <t xml:space="preserve">Conscientiousness-achievement r=.22 (strongest Big-Five)</t>
  </si>
  <si>
    <t xml:space="preserve">https://doi.org/10.1037/a0014996</t>
  </si>
  <si>
    <t xml:space="preserve">Sisk et al. (2018), Psychological Science</t>
  </si>
  <si>
    <t xml:space="preserve">Growth mindset-achievement r=.10 (weak; targeted)</t>
  </si>
  <si>
    <t xml:space="preserve">https://pubmed.ncbi.nlm.nih.gov/29505339/</t>
  </si>
  <si>
    <t xml:space="preserve">Crede et al. (2017), JPSP</t>
  </si>
  <si>
    <t xml:space="preserve">Grit largely redundant with conscientiousness</t>
  </si>
  <si>
    <t xml:space="preserve">https://pubmed.ncbi.nlm.nih.gov/27845531/</t>
  </si>
  <si>
    <t xml:space="preserve">Barroso et al. (2021), Psychological Bulletin</t>
  </si>
  <si>
    <t xml:space="preserve">Math anxiety-achievement r=-.28</t>
  </si>
  <si>
    <t xml:space="preserve">https://doi.org/10.1037/bul0000307</t>
  </si>
  <si>
    <t xml:space="preserve">Pashler et al. (2008), PSPI</t>
  </si>
  <si>
    <t xml:space="preserve">Learning styles lack evidence (exclude VARK)</t>
  </si>
  <si>
    <t xml:space="preserve">https://doi.org/10.1111/j.1539-6053.2009.01038.x</t>
  </si>
  <si>
    <t xml:space="preserve">Wai, Lubinski &amp; Benbow (2009), J. Ed. Psych.</t>
  </si>
  <si>
    <t xml:space="preserve">Spatial ability predicts STEM beyond math+verbal</t>
  </si>
  <si>
    <t xml:space="preserve">https://doi.org/10.1037/a0016127</t>
  </si>
  <si>
    <t xml:space="preserve">Uttal et al. (2013), Psychological Bulletin</t>
  </si>
  <si>
    <t xml:space="preserve">Spatial training malleable, Hedges g=0.47</t>
  </si>
  <si>
    <t xml:space="preserve">https://pubmed.ncbi.nlm.nih.gov/22663761/</t>
  </si>
  <si>
    <t xml:space="preserve">Multon, Brown &amp; Lent (1991), J. Counsel. Psych.</t>
  </si>
  <si>
    <t xml:space="preserve">Self-efficacy-performance r=.38</t>
  </si>
  <si>
    <t xml:space="preserve">https://doi.org/10.1037/0022-0167.38.1.30</t>
  </si>
  <si>
    <t xml:space="preserve">Duncan et al. (2007), Developmental Psychology</t>
  </si>
  <si>
    <t xml:space="preserve">Early math = strongest later-achievement predictor</t>
  </si>
  <si>
    <t xml:space="preserve">https://doi.org/10.1037/0012-1649.43.6.1428</t>
  </si>
  <si>
    <t xml:space="preserve">Diamond (2013), Annual Review of Psychology</t>
  </si>
  <si>
    <t xml:space="preserve">Core executive functions review</t>
  </si>
  <si>
    <t xml:space="preserve">https://doi.org/10.1146/annurev-psych-113011-143750</t>
  </si>
  <si>
    <t xml:space="preserve">Dent &amp; Koenka (2016), Ed. Psych. Review</t>
  </si>
  <si>
    <t xml:space="preserve">Metacognition-achievement r=.20</t>
  </si>
  <si>
    <t xml:space="preserve">https://doi.org/10.1007/s10648-015-9320-8</t>
  </si>
  <si>
    <t xml:space="preserve">Halberda, Mazzocco &amp; Feigenson (2008), Nature</t>
  </si>
  <si>
    <t xml:space="preserve">ANS acuity-math indep. of IQ</t>
  </si>
  <si>
    <t xml:space="preserve">https://www.nature.com/articles/nature07246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</si>
</sst>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2E5E8C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9"/>
      <color rgb="FF2E5E8C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8"/>
      <color rgb="FF9C1C1C"/>
      <name val="Arial"/>
      <family val="0"/>
      <charset val="1"/>
    </font>
    <font>
      <u val="single"/>
      <sz val="8"/>
      <color rgb="FF2E5E8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EEF2F6"/>
      </patternFill>
    </fill>
    <fill>
      <patternFill patternType="solid">
        <fgColor rgb="FFEEF2F6"/>
        <bgColor rgb="FFE2EFDA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6DD"/>
      </left>
      <right style="thin">
        <color rgb="FFD0D6DD"/>
      </right>
      <top style="thin">
        <color rgb="FFD0D6DD"/>
      </top>
      <bottom style="thin">
        <color rgb="FFD0D6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2F6"/>
      <rgbColor rgb="FF660066"/>
      <rgbColor rgb="FFFF8080"/>
      <rgbColor rgb="FF0066CC"/>
      <rgbColor rgb="FFD0D6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C1C1C"/>
      <rgbColor rgb="FF993366"/>
      <rgbColor rgb="FF2E5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4" min="3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4" customFormat="false" ht="45.75" hidden="false" customHeight="true" outlineLevel="0" collapsed="false">
      <c r="A4" s="3" t="s">
        <v>2</v>
      </c>
      <c r="B4" s="4" t="s">
        <v>3</v>
      </c>
      <c r="C4" s="4"/>
      <c r="D4" s="4"/>
    </row>
    <row r="5" customFormat="false" ht="45.75" hidden="false" customHeight="true" outlineLevel="0" collapsed="false">
      <c r="A5" s="3" t="s">
        <v>4</v>
      </c>
      <c r="B5" s="4" t="s">
        <v>5</v>
      </c>
      <c r="C5" s="4"/>
      <c r="D5" s="4"/>
    </row>
    <row r="6" customFormat="false" ht="45.75" hidden="false" customHeight="true" outlineLevel="0" collapsed="false">
      <c r="A6" s="3" t="s">
        <v>6</v>
      </c>
      <c r="B6" s="4" t="s">
        <v>7</v>
      </c>
      <c r="C6" s="4"/>
      <c r="D6" s="4"/>
    </row>
    <row r="7" customFormat="false" ht="45.75" hidden="false" customHeight="true" outlineLevel="0" collapsed="false">
      <c r="A7" s="3" t="s">
        <v>8</v>
      </c>
      <c r="B7" s="4" t="s">
        <v>9</v>
      </c>
      <c r="C7" s="4"/>
      <c r="D7" s="4"/>
    </row>
    <row r="9" customFormat="false" ht="15" hidden="false" customHeight="false" outlineLevel="0" collapsed="false">
      <c r="A9" s="5" t="s">
        <v>10</v>
      </c>
    </row>
    <row r="10" customFormat="false" ht="30" hidden="false" customHeight="true" outlineLevel="0" collapsed="false">
      <c r="A10" s="6" t="s">
        <v>11</v>
      </c>
      <c r="B10" s="4" t="s">
        <v>12</v>
      </c>
      <c r="C10" s="4"/>
      <c r="D10" s="4"/>
    </row>
    <row r="11" customFormat="false" ht="30" hidden="false" customHeight="true" outlineLevel="0" collapsed="false">
      <c r="A11" s="6" t="s">
        <v>13</v>
      </c>
      <c r="B11" s="4" t="s">
        <v>14</v>
      </c>
      <c r="C11" s="4"/>
      <c r="D11" s="4"/>
    </row>
    <row r="12" customFormat="false" ht="30" hidden="false" customHeight="true" outlineLevel="0" collapsed="false">
      <c r="A12" s="6" t="s">
        <v>15</v>
      </c>
      <c r="B12" s="4" t="s">
        <v>16</v>
      </c>
      <c r="C12" s="4"/>
      <c r="D12" s="4"/>
    </row>
    <row r="13" customFormat="false" ht="30" hidden="false" customHeight="true" outlineLevel="0" collapsed="false">
      <c r="A13" s="6" t="s">
        <v>17</v>
      </c>
      <c r="B13" s="4" t="s">
        <v>18</v>
      </c>
      <c r="C13" s="4"/>
      <c r="D13" s="4"/>
    </row>
    <row r="14" customFormat="false" ht="30" hidden="false" customHeight="true" outlineLevel="0" collapsed="false">
      <c r="A14" s="6" t="s">
        <v>19</v>
      </c>
      <c r="B14" s="4" t="s">
        <v>20</v>
      </c>
      <c r="C14" s="4"/>
      <c r="D14" s="4"/>
    </row>
    <row r="16" customFormat="false" ht="15" hidden="false" customHeight="false" outlineLevel="0" collapsed="false">
      <c r="A16" s="5" t="s">
        <v>21</v>
      </c>
    </row>
    <row r="17" customFormat="false" ht="15" hidden="false" customHeight="false" outlineLevel="0" collapsed="false">
      <c r="A17" s="7" t="s">
        <v>22</v>
      </c>
      <c r="B17" s="8" t="n">
        <f aca="false">COUNTA(Parameter_Catalog!B5:B24)</f>
        <v>20</v>
      </c>
    </row>
    <row r="18" customFormat="false" ht="15" hidden="false" customHeight="false" outlineLevel="0" collapsed="false">
      <c r="A18" s="7" t="s">
        <v>23</v>
      </c>
      <c r="B18" s="8" t="n">
        <f aca="false">COUNTIF(Parameter_Catalog!I5:I24,"Yes")</f>
        <v>10</v>
      </c>
    </row>
    <row r="19" customFormat="false" ht="15" hidden="false" customHeight="false" outlineLevel="0" collapsed="false">
      <c r="A19" s="7" t="s">
        <v>24</v>
      </c>
      <c r="B19" s="8" t="n">
        <f aca="false">COUNTIF(Parameter_Catalog!F5:F24,"T1_embedded_stealth")</f>
        <v>13</v>
      </c>
    </row>
    <row r="20" customFormat="false" ht="15" hidden="false" customHeight="false" outlineLevel="0" collapsed="false">
      <c r="A20" s="7" t="s">
        <v>25</v>
      </c>
      <c r="B20" s="8" t="n">
        <f aca="false">COUNTIF(Parameter_Catalog!F5:F24,"T2_selfreport_subtest")</f>
        <v>7</v>
      </c>
    </row>
    <row r="21" customFormat="false" ht="15" hidden="false" customHeight="false" outlineLevel="0" collapsed="false">
      <c r="A21" s="7" t="s">
        <v>26</v>
      </c>
      <c r="B21" s="8" t="n">
        <f aca="false">COUNTIF(Parameter_Catalog!G5:G24,"Yes")</f>
        <v>14</v>
      </c>
    </row>
  </sheetData>
  <mergeCells count="11">
    <mergeCell ref="A1:D1"/>
    <mergeCell ref="A2:D2"/>
    <mergeCell ref="B4:D4"/>
    <mergeCell ref="B5:D5"/>
    <mergeCell ref="B6:D6"/>
    <mergeCell ref="B7:D7"/>
    <mergeCell ref="B10:D10"/>
    <mergeCell ref="B11:D11"/>
    <mergeCell ref="B12:D12"/>
    <mergeCell ref="B13:D13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7"/>
    <col collapsed="false" customWidth="true" hidden="false" outlineLevel="0" max="12" min="11" style="0" width="34"/>
  </cols>
  <sheetData>
    <row r="1" customFormat="false" ht="25.5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9" t="s">
        <v>29</v>
      </c>
      <c r="B4" s="9" t="s">
        <v>30</v>
      </c>
      <c r="C4" s="9" t="s">
        <v>31</v>
      </c>
      <c r="D4" s="9" t="s">
        <v>11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  <c r="J4" s="9" t="s">
        <v>37</v>
      </c>
      <c r="K4" s="9" t="s">
        <v>38</v>
      </c>
      <c r="L4" s="9" t="s">
        <v>39</v>
      </c>
    </row>
    <row r="5" customFormat="false" ht="22.35" hidden="false" customHeight="false" outlineLevel="0" collapsed="false">
      <c r="A5" s="10" t="s">
        <v>40</v>
      </c>
      <c r="B5" s="11" t="s">
        <v>41</v>
      </c>
      <c r="C5" s="10" t="s">
        <v>42</v>
      </c>
      <c r="D5" s="10" t="s">
        <v>43</v>
      </c>
      <c r="E5" s="10" t="s">
        <v>44</v>
      </c>
      <c r="F5" s="12" t="s">
        <v>45</v>
      </c>
      <c r="G5" s="10" t="s">
        <v>46</v>
      </c>
      <c r="H5" s="10" t="s">
        <v>47</v>
      </c>
      <c r="I5" s="13" t="s">
        <v>47</v>
      </c>
      <c r="J5" s="10"/>
      <c r="K5" s="11" t="s">
        <v>48</v>
      </c>
      <c r="L5" s="11" t="s">
        <v>49</v>
      </c>
    </row>
    <row r="6" customFormat="false" ht="22.35" hidden="false" customHeight="false" outlineLevel="0" collapsed="false">
      <c r="A6" s="14" t="s">
        <v>50</v>
      </c>
      <c r="B6" s="15" t="s">
        <v>51</v>
      </c>
      <c r="C6" s="14" t="s">
        <v>42</v>
      </c>
      <c r="D6" s="14" t="s">
        <v>43</v>
      </c>
      <c r="E6" s="14" t="s">
        <v>44</v>
      </c>
      <c r="F6" s="16" t="s">
        <v>52</v>
      </c>
      <c r="G6" s="14" t="s">
        <v>46</v>
      </c>
      <c r="H6" s="14" t="s">
        <v>47</v>
      </c>
      <c r="I6" s="13" t="s">
        <v>47</v>
      </c>
      <c r="J6" s="14" t="s">
        <v>53</v>
      </c>
      <c r="K6" s="15" t="s">
        <v>54</v>
      </c>
      <c r="L6" s="15" t="s">
        <v>55</v>
      </c>
    </row>
    <row r="7" customFormat="false" ht="22.35" hidden="false" customHeight="false" outlineLevel="0" collapsed="false">
      <c r="A7" s="10" t="s">
        <v>56</v>
      </c>
      <c r="B7" s="11" t="s">
        <v>57</v>
      </c>
      <c r="C7" s="10" t="s">
        <v>42</v>
      </c>
      <c r="D7" s="10" t="s">
        <v>43</v>
      </c>
      <c r="E7" s="10" t="s">
        <v>44</v>
      </c>
      <c r="F7" s="16" t="s">
        <v>52</v>
      </c>
      <c r="G7" s="10" t="s">
        <v>46</v>
      </c>
      <c r="H7" s="10" t="s">
        <v>46</v>
      </c>
      <c r="I7" s="10" t="s">
        <v>46</v>
      </c>
      <c r="J7" s="10"/>
      <c r="K7" s="11" t="s">
        <v>58</v>
      </c>
      <c r="L7" s="11" t="s">
        <v>59</v>
      </c>
    </row>
    <row r="8" customFormat="false" ht="22.35" hidden="false" customHeight="false" outlineLevel="0" collapsed="false">
      <c r="A8" s="14" t="s">
        <v>60</v>
      </c>
      <c r="B8" s="15" t="s">
        <v>61</v>
      </c>
      <c r="C8" s="14" t="s">
        <v>42</v>
      </c>
      <c r="D8" s="14" t="s">
        <v>43</v>
      </c>
      <c r="E8" s="14" t="s">
        <v>44</v>
      </c>
      <c r="F8" s="16" t="s">
        <v>52</v>
      </c>
      <c r="G8" s="14" t="s">
        <v>46</v>
      </c>
      <c r="H8" s="14" t="s">
        <v>47</v>
      </c>
      <c r="I8" s="13" t="s">
        <v>47</v>
      </c>
      <c r="J8" s="14"/>
      <c r="K8" s="15" t="s">
        <v>62</v>
      </c>
      <c r="L8" s="15" t="s">
        <v>63</v>
      </c>
    </row>
    <row r="9" customFormat="false" ht="15" hidden="false" customHeight="false" outlineLevel="0" collapsed="false">
      <c r="A9" s="10" t="s">
        <v>64</v>
      </c>
      <c r="B9" s="11" t="s">
        <v>65</v>
      </c>
      <c r="C9" s="10" t="s">
        <v>42</v>
      </c>
      <c r="D9" s="10" t="s">
        <v>43</v>
      </c>
      <c r="E9" s="10" t="s">
        <v>44</v>
      </c>
      <c r="F9" s="16" t="s">
        <v>52</v>
      </c>
      <c r="G9" s="10" t="s">
        <v>47</v>
      </c>
      <c r="H9" s="10" t="s">
        <v>47</v>
      </c>
      <c r="I9" s="10" t="s">
        <v>46</v>
      </c>
      <c r="J9" s="10"/>
      <c r="K9" s="11" t="s">
        <v>66</v>
      </c>
      <c r="L9" s="11" t="s">
        <v>67</v>
      </c>
    </row>
    <row r="10" customFormat="false" ht="15" hidden="false" customHeight="false" outlineLevel="0" collapsed="false">
      <c r="A10" s="14" t="s">
        <v>68</v>
      </c>
      <c r="B10" s="15" t="s">
        <v>69</v>
      </c>
      <c r="C10" s="14" t="s">
        <v>70</v>
      </c>
      <c r="D10" s="14" t="s">
        <v>43</v>
      </c>
      <c r="E10" s="14" t="s">
        <v>44</v>
      </c>
      <c r="F10" s="12" t="s">
        <v>45</v>
      </c>
      <c r="G10" s="14" t="s">
        <v>47</v>
      </c>
      <c r="H10" s="14" t="s">
        <v>47</v>
      </c>
      <c r="I10" s="14" t="s">
        <v>46</v>
      </c>
      <c r="J10" s="14"/>
      <c r="K10" s="15" t="s">
        <v>71</v>
      </c>
      <c r="L10" s="15" t="s">
        <v>72</v>
      </c>
    </row>
    <row r="11" customFormat="false" ht="15" hidden="false" customHeight="false" outlineLevel="0" collapsed="false">
      <c r="A11" s="10" t="s">
        <v>73</v>
      </c>
      <c r="B11" s="11" t="s">
        <v>74</v>
      </c>
      <c r="C11" s="10" t="s">
        <v>70</v>
      </c>
      <c r="D11" s="10" t="s">
        <v>43</v>
      </c>
      <c r="E11" s="10" t="s">
        <v>44</v>
      </c>
      <c r="F11" s="16" t="s">
        <v>52</v>
      </c>
      <c r="G11" s="10" t="s">
        <v>47</v>
      </c>
      <c r="H11" s="10" t="s">
        <v>47</v>
      </c>
      <c r="I11" s="10" t="s">
        <v>46</v>
      </c>
      <c r="J11" s="10"/>
      <c r="K11" s="11" t="s">
        <v>75</v>
      </c>
      <c r="L11" s="11" t="s">
        <v>76</v>
      </c>
    </row>
    <row r="12" customFormat="false" ht="15" hidden="false" customHeight="false" outlineLevel="0" collapsed="false">
      <c r="A12" s="14" t="s">
        <v>77</v>
      </c>
      <c r="B12" s="15" t="s">
        <v>78</v>
      </c>
      <c r="C12" s="14" t="s">
        <v>70</v>
      </c>
      <c r="D12" s="14" t="s">
        <v>79</v>
      </c>
      <c r="E12" s="14" t="s">
        <v>80</v>
      </c>
      <c r="F12" s="16" t="s">
        <v>52</v>
      </c>
      <c r="G12" s="14" t="s">
        <v>47</v>
      </c>
      <c r="H12" s="14" t="s">
        <v>47</v>
      </c>
      <c r="I12" s="13" t="s">
        <v>47</v>
      </c>
      <c r="J12" s="14"/>
      <c r="K12" s="15" t="s">
        <v>81</v>
      </c>
      <c r="L12" s="15" t="s">
        <v>82</v>
      </c>
    </row>
    <row r="13" customFormat="false" ht="22.35" hidden="false" customHeight="false" outlineLevel="0" collapsed="false">
      <c r="A13" s="10" t="s">
        <v>83</v>
      </c>
      <c r="B13" s="11" t="s">
        <v>84</v>
      </c>
      <c r="C13" s="10" t="s">
        <v>85</v>
      </c>
      <c r="D13" s="10" t="s">
        <v>43</v>
      </c>
      <c r="E13" s="10" t="s">
        <v>44</v>
      </c>
      <c r="F13" s="16" t="s">
        <v>52</v>
      </c>
      <c r="G13" s="10" t="s">
        <v>47</v>
      </c>
      <c r="H13" s="10" t="s">
        <v>47</v>
      </c>
      <c r="I13" s="13" t="s">
        <v>47</v>
      </c>
      <c r="J13" s="10"/>
      <c r="K13" s="11" t="s">
        <v>86</v>
      </c>
      <c r="L13" s="11" t="s">
        <v>87</v>
      </c>
    </row>
    <row r="14" customFormat="false" ht="22.35" hidden="false" customHeight="false" outlineLevel="0" collapsed="false">
      <c r="A14" s="14" t="s">
        <v>88</v>
      </c>
      <c r="B14" s="15" t="s">
        <v>89</v>
      </c>
      <c r="C14" s="14" t="s">
        <v>85</v>
      </c>
      <c r="D14" s="14" t="s">
        <v>43</v>
      </c>
      <c r="E14" s="14" t="s">
        <v>44</v>
      </c>
      <c r="F14" s="16" t="s">
        <v>52</v>
      </c>
      <c r="G14" s="14" t="s">
        <v>47</v>
      </c>
      <c r="H14" s="14" t="s">
        <v>47</v>
      </c>
      <c r="I14" s="13" t="s">
        <v>47</v>
      </c>
      <c r="J14" s="14"/>
      <c r="K14" s="15" t="s">
        <v>90</v>
      </c>
      <c r="L14" s="15" t="s">
        <v>91</v>
      </c>
    </row>
    <row r="15" customFormat="false" ht="15" hidden="false" customHeight="false" outlineLevel="0" collapsed="false">
      <c r="A15" s="10" t="s">
        <v>92</v>
      </c>
      <c r="B15" s="11" t="s">
        <v>93</v>
      </c>
      <c r="C15" s="10" t="s">
        <v>85</v>
      </c>
      <c r="D15" s="10" t="s">
        <v>94</v>
      </c>
      <c r="E15" s="10" t="s">
        <v>95</v>
      </c>
      <c r="F15" s="16" t="s">
        <v>52</v>
      </c>
      <c r="G15" s="10" t="s">
        <v>47</v>
      </c>
      <c r="H15" s="10" t="s">
        <v>47</v>
      </c>
      <c r="I15" s="10" t="s">
        <v>46</v>
      </c>
      <c r="J15" s="10"/>
      <c r="K15" s="11" t="s">
        <v>96</v>
      </c>
      <c r="L15" s="11" t="s">
        <v>97</v>
      </c>
    </row>
    <row r="16" customFormat="false" ht="22.35" hidden="false" customHeight="false" outlineLevel="0" collapsed="false">
      <c r="A16" s="14" t="s">
        <v>98</v>
      </c>
      <c r="B16" s="15" t="s">
        <v>99</v>
      </c>
      <c r="C16" s="14" t="s">
        <v>100</v>
      </c>
      <c r="D16" s="14" t="s">
        <v>43</v>
      </c>
      <c r="E16" s="14" t="s">
        <v>44</v>
      </c>
      <c r="F16" s="16" t="s">
        <v>52</v>
      </c>
      <c r="G16" s="14" t="s">
        <v>47</v>
      </c>
      <c r="H16" s="14" t="s">
        <v>47</v>
      </c>
      <c r="I16" s="14" t="s">
        <v>46</v>
      </c>
      <c r="J16" s="14" t="s">
        <v>101</v>
      </c>
      <c r="K16" s="15" t="s">
        <v>102</v>
      </c>
      <c r="L16" s="15" t="s">
        <v>103</v>
      </c>
    </row>
    <row r="17" customFormat="false" ht="22.35" hidden="false" customHeight="false" outlineLevel="0" collapsed="false">
      <c r="A17" s="10" t="s">
        <v>104</v>
      </c>
      <c r="B17" s="11" t="s">
        <v>105</v>
      </c>
      <c r="C17" s="10" t="s">
        <v>100</v>
      </c>
      <c r="D17" s="10" t="s">
        <v>43</v>
      </c>
      <c r="E17" s="10" t="s">
        <v>44</v>
      </c>
      <c r="F17" s="16" t="s">
        <v>52</v>
      </c>
      <c r="G17" s="10" t="s">
        <v>47</v>
      </c>
      <c r="H17" s="10" t="s">
        <v>47</v>
      </c>
      <c r="I17" s="13" t="s">
        <v>47</v>
      </c>
      <c r="J17" s="10"/>
      <c r="K17" s="11" t="s">
        <v>106</v>
      </c>
      <c r="L17" s="11" t="s">
        <v>107</v>
      </c>
    </row>
    <row r="18" customFormat="false" ht="22.35" hidden="false" customHeight="false" outlineLevel="0" collapsed="false">
      <c r="A18" s="14" t="s">
        <v>108</v>
      </c>
      <c r="B18" s="15" t="s">
        <v>109</v>
      </c>
      <c r="C18" s="14" t="s">
        <v>100</v>
      </c>
      <c r="D18" s="14" t="s">
        <v>110</v>
      </c>
      <c r="E18" s="14" t="s">
        <v>111</v>
      </c>
      <c r="F18" s="16" t="s">
        <v>52</v>
      </c>
      <c r="G18" s="14" t="s">
        <v>47</v>
      </c>
      <c r="H18" s="14" t="s">
        <v>47</v>
      </c>
      <c r="I18" s="14" t="s">
        <v>46</v>
      </c>
      <c r="J18" s="14"/>
      <c r="K18" s="15" t="s">
        <v>112</v>
      </c>
      <c r="L18" s="15" t="s">
        <v>113</v>
      </c>
    </row>
    <row r="19" customFormat="false" ht="22.35" hidden="false" customHeight="false" outlineLevel="0" collapsed="false">
      <c r="A19" s="10" t="s">
        <v>114</v>
      </c>
      <c r="B19" s="11" t="s">
        <v>115</v>
      </c>
      <c r="C19" s="10" t="s">
        <v>116</v>
      </c>
      <c r="D19" s="10" t="s">
        <v>43</v>
      </c>
      <c r="E19" s="10" t="s">
        <v>44</v>
      </c>
      <c r="F19" s="12" t="s">
        <v>45</v>
      </c>
      <c r="G19" s="10" t="s">
        <v>47</v>
      </c>
      <c r="H19" s="10" t="s">
        <v>47</v>
      </c>
      <c r="I19" s="13" t="s">
        <v>47</v>
      </c>
      <c r="J19" s="10"/>
      <c r="K19" s="11" t="s">
        <v>117</v>
      </c>
      <c r="L19" s="11" t="s">
        <v>118</v>
      </c>
    </row>
    <row r="20" customFormat="false" ht="22.35" hidden="false" customHeight="false" outlineLevel="0" collapsed="false">
      <c r="A20" s="14" t="s">
        <v>119</v>
      </c>
      <c r="B20" s="15" t="s">
        <v>120</v>
      </c>
      <c r="C20" s="14" t="s">
        <v>116</v>
      </c>
      <c r="D20" s="14" t="s">
        <v>121</v>
      </c>
      <c r="E20" s="14" t="s">
        <v>122</v>
      </c>
      <c r="F20" s="12" t="s">
        <v>45</v>
      </c>
      <c r="G20" s="14" t="s">
        <v>47</v>
      </c>
      <c r="H20" s="14" t="s">
        <v>47</v>
      </c>
      <c r="I20" s="14" t="s">
        <v>46</v>
      </c>
      <c r="J20" s="14"/>
      <c r="K20" s="15" t="s">
        <v>123</v>
      </c>
      <c r="L20" s="15" t="s">
        <v>124</v>
      </c>
    </row>
    <row r="21" customFormat="false" ht="15" hidden="false" customHeight="false" outlineLevel="0" collapsed="false">
      <c r="A21" s="10" t="s">
        <v>125</v>
      </c>
      <c r="B21" s="11" t="s">
        <v>126</v>
      </c>
      <c r="C21" s="10" t="s">
        <v>116</v>
      </c>
      <c r="D21" s="10" t="s">
        <v>43</v>
      </c>
      <c r="E21" s="10" t="s">
        <v>44</v>
      </c>
      <c r="F21" s="12" t="s">
        <v>45</v>
      </c>
      <c r="G21" s="10" t="s">
        <v>46</v>
      </c>
      <c r="H21" s="10" t="s">
        <v>47</v>
      </c>
      <c r="I21" s="10" t="s">
        <v>46</v>
      </c>
      <c r="J21" s="10" t="s">
        <v>127</v>
      </c>
      <c r="K21" s="11" t="s">
        <v>128</v>
      </c>
      <c r="L21" s="11" t="s">
        <v>129</v>
      </c>
    </row>
    <row r="22" customFormat="false" ht="15" hidden="false" customHeight="false" outlineLevel="0" collapsed="false">
      <c r="A22" s="14" t="s">
        <v>130</v>
      </c>
      <c r="B22" s="15" t="s">
        <v>131</v>
      </c>
      <c r="C22" s="14" t="s">
        <v>116</v>
      </c>
      <c r="D22" s="14" t="s">
        <v>43</v>
      </c>
      <c r="E22" s="14" t="s">
        <v>44</v>
      </c>
      <c r="F22" s="12" t="s">
        <v>45</v>
      </c>
      <c r="G22" s="14" t="s">
        <v>46</v>
      </c>
      <c r="H22" s="14" t="s">
        <v>47</v>
      </c>
      <c r="I22" s="14" t="s">
        <v>46</v>
      </c>
      <c r="J22" s="14" t="s">
        <v>132</v>
      </c>
      <c r="K22" s="15" t="s">
        <v>133</v>
      </c>
      <c r="L22" s="15" t="s">
        <v>134</v>
      </c>
    </row>
    <row r="23" customFormat="false" ht="22.35" hidden="false" customHeight="false" outlineLevel="0" collapsed="false">
      <c r="A23" s="10" t="s">
        <v>135</v>
      </c>
      <c r="B23" s="11" t="s">
        <v>136</v>
      </c>
      <c r="C23" s="10" t="s">
        <v>116</v>
      </c>
      <c r="D23" s="10" t="s">
        <v>43</v>
      </c>
      <c r="E23" s="10" t="s">
        <v>137</v>
      </c>
      <c r="F23" s="12" t="s">
        <v>45</v>
      </c>
      <c r="G23" s="10" t="s">
        <v>47</v>
      </c>
      <c r="H23" s="10" t="s">
        <v>46</v>
      </c>
      <c r="I23" s="13" t="s">
        <v>47</v>
      </c>
      <c r="J23" s="10"/>
      <c r="K23" s="11" t="s">
        <v>138</v>
      </c>
      <c r="L23" s="11" t="s">
        <v>139</v>
      </c>
    </row>
    <row r="24" customFormat="false" ht="22.35" hidden="false" customHeight="false" outlineLevel="0" collapsed="false">
      <c r="A24" s="14" t="s">
        <v>140</v>
      </c>
      <c r="B24" s="15" t="s">
        <v>141</v>
      </c>
      <c r="C24" s="14" t="s">
        <v>116</v>
      </c>
      <c r="D24" s="14" t="s">
        <v>43</v>
      </c>
      <c r="E24" s="14" t="s">
        <v>44</v>
      </c>
      <c r="F24" s="16" t="s">
        <v>52</v>
      </c>
      <c r="G24" s="14" t="s">
        <v>47</v>
      </c>
      <c r="H24" s="14" t="s">
        <v>47</v>
      </c>
      <c r="I24" s="13" t="s">
        <v>47</v>
      </c>
      <c r="J24" s="14"/>
      <c r="K24" s="15" t="s">
        <v>142</v>
      </c>
      <c r="L24" s="15" t="s">
        <v>143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42"/>
  </cols>
  <sheetData>
    <row r="1" customFormat="false" ht="25.5" hidden="false" customHeight="true" outlineLevel="0" collapsed="false">
      <c r="A1" s="1" t="s">
        <v>144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145</v>
      </c>
      <c r="B2" s="2"/>
      <c r="C2" s="2"/>
      <c r="D2" s="2"/>
      <c r="E2" s="2"/>
    </row>
    <row r="4" customFormat="false" ht="23.85" hidden="false" customHeight="false" outlineLevel="0" collapsed="false">
      <c r="A4" s="9" t="s">
        <v>146</v>
      </c>
      <c r="B4" s="9" t="s">
        <v>147</v>
      </c>
      <c r="C4" s="9" t="s">
        <v>148</v>
      </c>
      <c r="D4" s="9" t="s">
        <v>149</v>
      </c>
      <c r="E4" s="9" t="s">
        <v>150</v>
      </c>
    </row>
    <row r="5" customFormat="false" ht="15" hidden="false" customHeight="false" outlineLevel="0" collapsed="false">
      <c r="A5" s="17" t="n">
        <v>0</v>
      </c>
      <c r="B5" s="10" t="s">
        <v>151</v>
      </c>
      <c r="C5" s="10" t="s">
        <v>152</v>
      </c>
      <c r="D5" s="10" t="s">
        <v>153</v>
      </c>
      <c r="E5" s="11" t="s">
        <v>154</v>
      </c>
    </row>
    <row r="6" customFormat="false" ht="15" hidden="false" customHeight="false" outlineLevel="0" collapsed="false">
      <c r="A6" s="17" t="n">
        <v>1</v>
      </c>
      <c r="B6" s="14" t="s">
        <v>155</v>
      </c>
      <c r="C6" s="14" t="s">
        <v>156</v>
      </c>
      <c r="D6" s="14" t="s">
        <v>153</v>
      </c>
      <c r="E6" s="15" t="s">
        <v>157</v>
      </c>
    </row>
    <row r="7" customFormat="false" ht="15" hidden="false" customHeight="false" outlineLevel="0" collapsed="false">
      <c r="A7" s="17" t="n">
        <v>2</v>
      </c>
      <c r="B7" s="10" t="s">
        <v>158</v>
      </c>
      <c r="C7" s="10" t="s">
        <v>159</v>
      </c>
      <c r="D7" s="10" t="s">
        <v>160</v>
      </c>
      <c r="E7" s="11" t="s">
        <v>161</v>
      </c>
    </row>
    <row r="8" customFormat="false" ht="15" hidden="false" customHeight="false" outlineLevel="0" collapsed="false">
      <c r="A8" s="17" t="n">
        <v>3</v>
      </c>
      <c r="B8" s="14" t="s">
        <v>162</v>
      </c>
      <c r="C8" s="14" t="s">
        <v>163</v>
      </c>
      <c r="D8" s="14" t="s">
        <v>160</v>
      </c>
      <c r="E8" s="15" t="s">
        <v>164</v>
      </c>
    </row>
    <row r="9" customFormat="false" ht="15" hidden="false" customHeight="false" outlineLevel="0" collapsed="false">
      <c r="A9" s="18" t="n">
        <v>4</v>
      </c>
      <c r="B9" s="10" t="s">
        <v>165</v>
      </c>
      <c r="C9" s="10" t="s">
        <v>166</v>
      </c>
      <c r="D9" s="10" t="s">
        <v>167</v>
      </c>
      <c r="E9" s="11" t="s">
        <v>168</v>
      </c>
    </row>
    <row r="10" customFormat="false" ht="15" hidden="false" customHeight="false" outlineLevel="0" collapsed="false">
      <c r="A10" s="18" t="n">
        <v>5</v>
      </c>
      <c r="B10" s="14" t="s">
        <v>169</v>
      </c>
      <c r="C10" s="14" t="s">
        <v>170</v>
      </c>
      <c r="D10" s="14" t="s">
        <v>171</v>
      </c>
      <c r="E10" s="15" t="s">
        <v>172</v>
      </c>
    </row>
    <row r="11" customFormat="false" ht="15" hidden="false" customHeight="false" outlineLevel="0" collapsed="false">
      <c r="A11" s="18" t="n">
        <v>6</v>
      </c>
      <c r="B11" s="10" t="s">
        <v>173</v>
      </c>
      <c r="C11" s="10" t="s">
        <v>174</v>
      </c>
      <c r="D11" s="10" t="s">
        <v>175</v>
      </c>
      <c r="E11" s="11" t="s">
        <v>176</v>
      </c>
    </row>
    <row r="12" customFormat="false" ht="15" hidden="false" customHeight="false" outlineLevel="0" collapsed="false">
      <c r="A12" s="19" t="n">
        <v>7</v>
      </c>
      <c r="B12" s="14" t="s">
        <v>177</v>
      </c>
      <c r="C12" s="14" t="s">
        <v>178</v>
      </c>
      <c r="D12" s="14" t="s">
        <v>179</v>
      </c>
      <c r="E12" s="15" t="s">
        <v>180</v>
      </c>
    </row>
    <row r="13" customFormat="false" ht="15" hidden="false" customHeight="false" outlineLevel="0" collapsed="false">
      <c r="A13" s="19" t="n">
        <v>8</v>
      </c>
      <c r="B13" s="10" t="s">
        <v>181</v>
      </c>
      <c r="C13" s="10" t="s">
        <v>182</v>
      </c>
      <c r="D13" s="10" t="s">
        <v>179</v>
      </c>
      <c r="E13" s="11" t="s">
        <v>183</v>
      </c>
    </row>
    <row r="14" customFormat="false" ht="15" hidden="false" customHeight="false" outlineLevel="0" collapsed="false">
      <c r="A14" s="19" t="n">
        <v>9</v>
      </c>
      <c r="B14" s="14" t="s">
        <v>184</v>
      </c>
      <c r="C14" s="14" t="s">
        <v>185</v>
      </c>
      <c r="D14" s="14" t="s">
        <v>186</v>
      </c>
      <c r="E14" s="15" t="s">
        <v>187</v>
      </c>
    </row>
    <row r="15" customFormat="false" ht="15" hidden="false" customHeight="false" outlineLevel="0" collapsed="false">
      <c r="A15" s="19" t="n">
        <v>10</v>
      </c>
      <c r="B15" s="10" t="s">
        <v>188</v>
      </c>
      <c r="C15" s="10" t="s">
        <v>189</v>
      </c>
      <c r="D15" s="10" t="s">
        <v>186</v>
      </c>
      <c r="E15" s="11" t="s">
        <v>190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7" min="6" style="0" width="34"/>
  </cols>
  <sheetData>
    <row r="1" customFormat="false" ht="25.5" hidden="false" customHeight="true" outlineLevel="0" collapsed="false">
      <c r="A1" s="1" t="s">
        <v>191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192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9" t="s">
        <v>29</v>
      </c>
      <c r="B4" s="9" t="s">
        <v>30</v>
      </c>
      <c r="C4" s="9" t="s">
        <v>11</v>
      </c>
      <c r="D4" s="9" t="s">
        <v>193</v>
      </c>
      <c r="E4" s="9" t="s">
        <v>194</v>
      </c>
      <c r="F4" s="9" t="s">
        <v>195</v>
      </c>
      <c r="G4" s="9" t="s">
        <v>196</v>
      </c>
    </row>
    <row r="5" customFormat="false" ht="22.35" hidden="false" customHeight="false" outlineLevel="0" collapsed="false">
      <c r="A5" s="10" t="s">
        <v>40</v>
      </c>
      <c r="B5" s="11" t="s">
        <v>41</v>
      </c>
      <c r="C5" s="10" t="s">
        <v>44</v>
      </c>
      <c r="D5" s="11" t="s">
        <v>197</v>
      </c>
      <c r="E5" s="11" t="s">
        <v>198</v>
      </c>
      <c r="F5" s="11" t="s">
        <v>199</v>
      </c>
      <c r="G5" s="11" t="s">
        <v>200</v>
      </c>
    </row>
    <row r="6" customFormat="false" ht="15" hidden="false" customHeight="false" outlineLevel="0" collapsed="false">
      <c r="A6" s="14" t="s">
        <v>50</v>
      </c>
      <c r="B6" s="15" t="s">
        <v>51</v>
      </c>
      <c r="C6" s="14" t="s">
        <v>44</v>
      </c>
      <c r="D6" s="15" t="s">
        <v>201</v>
      </c>
      <c r="E6" s="15" t="s">
        <v>202</v>
      </c>
      <c r="F6" s="15" t="s">
        <v>203</v>
      </c>
      <c r="G6" s="15" t="s">
        <v>204</v>
      </c>
    </row>
    <row r="7" customFormat="false" ht="22.35" hidden="false" customHeight="false" outlineLevel="0" collapsed="false">
      <c r="A7" s="10" t="s">
        <v>56</v>
      </c>
      <c r="B7" s="11" t="s">
        <v>57</v>
      </c>
      <c r="C7" s="10" t="s">
        <v>44</v>
      </c>
      <c r="D7" s="11" t="s">
        <v>205</v>
      </c>
      <c r="E7" s="11" t="s">
        <v>206</v>
      </c>
      <c r="F7" s="11" t="s">
        <v>207</v>
      </c>
      <c r="G7" s="11" t="s">
        <v>208</v>
      </c>
    </row>
    <row r="8" customFormat="false" ht="22.35" hidden="false" customHeight="false" outlineLevel="0" collapsed="false">
      <c r="A8" s="14" t="s">
        <v>60</v>
      </c>
      <c r="B8" s="15" t="s">
        <v>61</v>
      </c>
      <c r="C8" s="14" t="s">
        <v>44</v>
      </c>
      <c r="D8" s="15" t="s">
        <v>209</v>
      </c>
      <c r="E8" s="15" t="s">
        <v>210</v>
      </c>
      <c r="F8" s="15" t="s">
        <v>211</v>
      </c>
      <c r="G8" s="15" t="s">
        <v>212</v>
      </c>
    </row>
    <row r="9" customFormat="false" ht="15" hidden="false" customHeight="false" outlineLevel="0" collapsed="false">
      <c r="A9" s="10" t="s">
        <v>64</v>
      </c>
      <c r="B9" s="11" t="s">
        <v>65</v>
      </c>
      <c r="C9" s="10" t="s">
        <v>44</v>
      </c>
      <c r="D9" s="11" t="s">
        <v>213</v>
      </c>
      <c r="E9" s="11" t="s">
        <v>214</v>
      </c>
      <c r="F9" s="11" t="s">
        <v>215</v>
      </c>
      <c r="G9" s="11" t="s">
        <v>216</v>
      </c>
    </row>
    <row r="10" customFormat="false" ht="15" hidden="false" customHeight="false" outlineLevel="0" collapsed="false">
      <c r="A10" s="14" t="s">
        <v>68</v>
      </c>
      <c r="B10" s="15" t="s">
        <v>217</v>
      </c>
      <c r="C10" s="14" t="s">
        <v>44</v>
      </c>
      <c r="D10" s="15" t="s">
        <v>218</v>
      </c>
      <c r="E10" s="15" t="s">
        <v>219</v>
      </c>
      <c r="F10" s="15" t="s">
        <v>220</v>
      </c>
      <c r="G10" s="15" t="s">
        <v>221</v>
      </c>
    </row>
    <row r="11" customFormat="false" ht="22.35" hidden="false" customHeight="false" outlineLevel="0" collapsed="false">
      <c r="A11" s="10" t="s">
        <v>73</v>
      </c>
      <c r="B11" s="11" t="s">
        <v>74</v>
      </c>
      <c r="C11" s="10" t="s">
        <v>44</v>
      </c>
      <c r="D11" s="11" t="s">
        <v>222</v>
      </c>
      <c r="E11" s="11" t="s">
        <v>223</v>
      </c>
      <c r="F11" s="11" t="s">
        <v>224</v>
      </c>
      <c r="G11" s="11" t="s">
        <v>225</v>
      </c>
    </row>
    <row r="12" customFormat="false" ht="22.35" hidden="false" customHeight="false" outlineLevel="0" collapsed="false">
      <c r="A12" s="14" t="s">
        <v>77</v>
      </c>
      <c r="B12" s="15" t="s">
        <v>226</v>
      </c>
      <c r="C12" s="14" t="s">
        <v>227</v>
      </c>
      <c r="D12" s="15" t="s">
        <v>228</v>
      </c>
      <c r="E12" s="15" t="s">
        <v>229</v>
      </c>
      <c r="F12" s="15" t="s">
        <v>230</v>
      </c>
      <c r="G12" s="15" t="s">
        <v>231</v>
      </c>
    </row>
    <row r="13" customFormat="false" ht="22.35" hidden="false" customHeight="false" outlineLevel="0" collapsed="false">
      <c r="A13" s="10" t="s">
        <v>83</v>
      </c>
      <c r="B13" s="11" t="s">
        <v>232</v>
      </c>
      <c r="C13" s="10" t="s">
        <v>44</v>
      </c>
      <c r="D13" s="11" t="s">
        <v>233</v>
      </c>
      <c r="E13" s="11" t="s">
        <v>234</v>
      </c>
      <c r="F13" s="11" t="s">
        <v>235</v>
      </c>
      <c r="G13" s="11" t="s">
        <v>236</v>
      </c>
    </row>
    <row r="14" customFormat="false" ht="22.35" hidden="false" customHeight="false" outlineLevel="0" collapsed="false">
      <c r="A14" s="14" t="s">
        <v>88</v>
      </c>
      <c r="B14" s="15" t="s">
        <v>89</v>
      </c>
      <c r="C14" s="14" t="s">
        <v>44</v>
      </c>
      <c r="D14" s="15" t="s">
        <v>237</v>
      </c>
      <c r="E14" s="15" t="s">
        <v>238</v>
      </c>
      <c r="F14" s="15" t="s">
        <v>239</v>
      </c>
      <c r="G14" s="15" t="s">
        <v>240</v>
      </c>
    </row>
    <row r="15" customFormat="false" ht="22.35" hidden="false" customHeight="false" outlineLevel="0" collapsed="false">
      <c r="A15" s="10" t="s">
        <v>92</v>
      </c>
      <c r="B15" s="11" t="s">
        <v>93</v>
      </c>
      <c r="C15" s="10" t="s">
        <v>241</v>
      </c>
      <c r="D15" s="11" t="s">
        <v>242</v>
      </c>
      <c r="E15" s="11" t="s">
        <v>243</v>
      </c>
      <c r="F15" s="11" t="s">
        <v>244</v>
      </c>
      <c r="G15" s="11" t="s">
        <v>245</v>
      </c>
    </row>
    <row r="16" customFormat="false" ht="22.35" hidden="false" customHeight="false" outlineLevel="0" collapsed="false">
      <c r="A16" s="14" t="s">
        <v>98</v>
      </c>
      <c r="B16" s="15" t="s">
        <v>246</v>
      </c>
      <c r="C16" s="14" t="s">
        <v>44</v>
      </c>
      <c r="D16" s="15" t="s">
        <v>247</v>
      </c>
      <c r="E16" s="15" t="s">
        <v>248</v>
      </c>
      <c r="F16" s="15" t="s">
        <v>249</v>
      </c>
      <c r="G16" s="15" t="s">
        <v>250</v>
      </c>
    </row>
    <row r="17" customFormat="false" ht="15" hidden="false" customHeight="false" outlineLevel="0" collapsed="false">
      <c r="A17" s="10" t="s">
        <v>104</v>
      </c>
      <c r="B17" s="11" t="s">
        <v>251</v>
      </c>
      <c r="C17" s="10" t="s">
        <v>44</v>
      </c>
      <c r="D17" s="11" t="s">
        <v>252</v>
      </c>
      <c r="E17" s="11" t="s">
        <v>253</v>
      </c>
      <c r="F17" s="11" t="s">
        <v>254</v>
      </c>
      <c r="G17" s="11" t="s">
        <v>255</v>
      </c>
    </row>
    <row r="18" customFormat="false" ht="22.35" hidden="false" customHeight="false" outlineLevel="0" collapsed="false">
      <c r="A18" s="14" t="s">
        <v>108</v>
      </c>
      <c r="B18" s="15" t="s">
        <v>109</v>
      </c>
      <c r="C18" s="14" t="s">
        <v>256</v>
      </c>
      <c r="D18" s="15" t="s">
        <v>257</v>
      </c>
      <c r="E18" s="15" t="s">
        <v>258</v>
      </c>
      <c r="F18" s="15" t="s">
        <v>259</v>
      </c>
      <c r="G18" s="15" t="s">
        <v>260</v>
      </c>
    </row>
    <row r="19" customFormat="false" ht="22.35" hidden="false" customHeight="false" outlineLevel="0" collapsed="false">
      <c r="A19" s="10" t="s">
        <v>114</v>
      </c>
      <c r="B19" s="11" t="s">
        <v>115</v>
      </c>
      <c r="C19" s="10" t="s">
        <v>44</v>
      </c>
      <c r="D19" s="11" t="s">
        <v>261</v>
      </c>
      <c r="E19" s="11" t="s">
        <v>262</v>
      </c>
      <c r="F19" s="11" t="s">
        <v>263</v>
      </c>
      <c r="G19" s="11" t="s">
        <v>264</v>
      </c>
    </row>
    <row r="20" customFormat="false" ht="22.35" hidden="false" customHeight="false" outlineLevel="0" collapsed="false">
      <c r="A20" s="14" t="s">
        <v>119</v>
      </c>
      <c r="B20" s="15" t="s">
        <v>265</v>
      </c>
      <c r="C20" s="14" t="s">
        <v>266</v>
      </c>
      <c r="D20" s="15" t="s">
        <v>267</v>
      </c>
      <c r="E20" s="15" t="s">
        <v>268</v>
      </c>
      <c r="F20" s="15" t="s">
        <v>269</v>
      </c>
      <c r="G20" s="15" t="s">
        <v>270</v>
      </c>
    </row>
    <row r="21" customFormat="false" ht="15" hidden="false" customHeight="false" outlineLevel="0" collapsed="false">
      <c r="A21" s="10" t="s">
        <v>125</v>
      </c>
      <c r="B21" s="11" t="s">
        <v>126</v>
      </c>
      <c r="C21" s="10" t="s">
        <v>44</v>
      </c>
      <c r="D21" s="11" t="s">
        <v>271</v>
      </c>
      <c r="E21" s="11" t="s">
        <v>272</v>
      </c>
      <c r="F21" s="11" t="s">
        <v>273</v>
      </c>
      <c r="G21" s="11" t="s">
        <v>274</v>
      </c>
    </row>
    <row r="22" customFormat="false" ht="15" hidden="false" customHeight="false" outlineLevel="0" collapsed="false">
      <c r="A22" s="14" t="s">
        <v>130</v>
      </c>
      <c r="B22" s="15" t="s">
        <v>131</v>
      </c>
      <c r="C22" s="14" t="s">
        <v>44</v>
      </c>
      <c r="D22" s="15" t="s">
        <v>275</v>
      </c>
      <c r="E22" s="15" t="s">
        <v>276</v>
      </c>
      <c r="F22" s="15" t="s">
        <v>277</v>
      </c>
      <c r="G22" s="15" t="s">
        <v>278</v>
      </c>
    </row>
    <row r="23" customFormat="false" ht="22.35" hidden="false" customHeight="false" outlineLevel="0" collapsed="false">
      <c r="A23" s="10" t="s">
        <v>135</v>
      </c>
      <c r="B23" s="11" t="s">
        <v>136</v>
      </c>
      <c r="C23" s="10" t="s">
        <v>279</v>
      </c>
      <c r="D23" s="11" t="s">
        <v>280</v>
      </c>
      <c r="E23" s="11" t="s">
        <v>281</v>
      </c>
      <c r="F23" s="11" t="s">
        <v>282</v>
      </c>
      <c r="G23" s="11" t="s">
        <v>283</v>
      </c>
    </row>
    <row r="24" customFormat="false" ht="22.35" hidden="false" customHeight="false" outlineLevel="0" collapsed="false">
      <c r="A24" s="14" t="s">
        <v>140</v>
      </c>
      <c r="B24" s="15" t="s">
        <v>284</v>
      </c>
      <c r="C24" s="14" t="s">
        <v>44</v>
      </c>
      <c r="D24" s="15" t="s">
        <v>285</v>
      </c>
      <c r="E24" s="15" t="s">
        <v>286</v>
      </c>
      <c r="F24" s="15" t="s">
        <v>287</v>
      </c>
      <c r="G24" s="15" t="s">
        <v>288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54"/>
  </cols>
  <sheetData>
    <row r="1" customFormat="false" ht="25.5" hidden="false" customHeight="true" outlineLevel="0" collapsed="false">
      <c r="A1" s="1" t="s">
        <v>289</v>
      </c>
      <c r="B1" s="1"/>
      <c r="C1" s="1"/>
      <c r="D1" s="1"/>
    </row>
    <row r="2" customFormat="false" ht="15.75" hidden="false" customHeight="true" outlineLevel="0" collapsed="false">
      <c r="A2" s="2" t="s">
        <v>290</v>
      </c>
      <c r="B2" s="2"/>
      <c r="C2" s="2"/>
      <c r="D2" s="2"/>
    </row>
    <row r="4" customFormat="false" ht="15" hidden="false" customHeight="false" outlineLevel="0" collapsed="false">
      <c r="A4" s="9" t="s">
        <v>291</v>
      </c>
      <c r="B4" s="9" t="s">
        <v>292</v>
      </c>
      <c r="C4" s="9" t="s">
        <v>293</v>
      </c>
      <c r="D4" s="9" t="s">
        <v>294</v>
      </c>
    </row>
    <row r="5" customFormat="false" ht="15" hidden="false" customHeight="false" outlineLevel="0" collapsed="false">
      <c r="A5" s="10" t="s">
        <v>295</v>
      </c>
      <c r="B5" s="10" t="s">
        <v>296</v>
      </c>
      <c r="C5" s="10" t="s">
        <v>297</v>
      </c>
      <c r="D5" s="11" t="s">
        <v>298</v>
      </c>
    </row>
    <row r="6" customFormat="false" ht="15" hidden="false" customHeight="false" outlineLevel="0" collapsed="false">
      <c r="A6" s="14" t="s">
        <v>295</v>
      </c>
      <c r="B6" s="14" t="s">
        <v>299</v>
      </c>
      <c r="C6" s="14" t="s">
        <v>300</v>
      </c>
      <c r="D6" s="15" t="s">
        <v>301</v>
      </c>
    </row>
    <row r="7" customFormat="false" ht="15" hidden="false" customHeight="false" outlineLevel="0" collapsed="false">
      <c r="A7" s="10" t="s">
        <v>295</v>
      </c>
      <c r="B7" s="10" t="s">
        <v>302</v>
      </c>
      <c r="C7" s="10" t="s">
        <v>303</v>
      </c>
      <c r="D7" s="11" t="s">
        <v>304</v>
      </c>
    </row>
    <row r="8" customFormat="false" ht="15" hidden="false" customHeight="false" outlineLevel="0" collapsed="false">
      <c r="A8" s="14" t="s">
        <v>295</v>
      </c>
      <c r="B8" s="14" t="s">
        <v>305</v>
      </c>
      <c r="C8" s="14" t="s">
        <v>303</v>
      </c>
      <c r="D8" s="15" t="s">
        <v>306</v>
      </c>
    </row>
    <row r="9" customFormat="false" ht="15" hidden="false" customHeight="false" outlineLevel="0" collapsed="false">
      <c r="A9" s="10" t="s">
        <v>307</v>
      </c>
      <c r="B9" s="10" t="s">
        <v>308</v>
      </c>
      <c r="C9" s="10" t="s">
        <v>309</v>
      </c>
      <c r="D9" s="11" t="s">
        <v>310</v>
      </c>
    </row>
    <row r="10" customFormat="false" ht="22.35" hidden="false" customHeight="false" outlineLevel="0" collapsed="false">
      <c r="A10" s="14" t="s">
        <v>307</v>
      </c>
      <c r="B10" s="14" t="s">
        <v>311</v>
      </c>
      <c r="C10" s="14" t="s">
        <v>312</v>
      </c>
      <c r="D10" s="15" t="s">
        <v>313</v>
      </c>
    </row>
    <row r="11" customFormat="false" ht="15" hidden="false" customHeight="false" outlineLevel="0" collapsed="false">
      <c r="A11" s="10" t="s">
        <v>307</v>
      </c>
      <c r="B11" s="10" t="s">
        <v>314</v>
      </c>
      <c r="C11" s="10" t="s">
        <v>312</v>
      </c>
      <c r="D11" s="11" t="s">
        <v>315</v>
      </c>
    </row>
    <row r="12" customFormat="false" ht="15" hidden="false" customHeight="false" outlineLevel="0" collapsed="false">
      <c r="A12" s="14" t="s">
        <v>307</v>
      </c>
      <c r="B12" s="14" t="s">
        <v>316</v>
      </c>
      <c r="C12" s="14" t="s">
        <v>317</v>
      </c>
      <c r="D12" s="15" t="s">
        <v>318</v>
      </c>
    </row>
    <row r="13" customFormat="false" ht="15" hidden="false" customHeight="false" outlineLevel="0" collapsed="false">
      <c r="A13" s="10" t="s">
        <v>319</v>
      </c>
      <c r="B13" s="10" t="s">
        <v>320</v>
      </c>
      <c r="C13" s="10" t="s">
        <v>321</v>
      </c>
      <c r="D13" s="11" t="s">
        <v>322</v>
      </c>
    </row>
    <row r="14" customFormat="false" ht="15" hidden="false" customHeight="false" outlineLevel="0" collapsed="false">
      <c r="A14" s="14" t="s">
        <v>319</v>
      </c>
      <c r="B14" s="14" t="s">
        <v>323</v>
      </c>
      <c r="C14" s="14" t="s">
        <v>300</v>
      </c>
      <c r="D14" s="15" t="s">
        <v>324</v>
      </c>
    </row>
    <row r="15" customFormat="false" ht="22.35" hidden="false" customHeight="false" outlineLevel="0" collapsed="false">
      <c r="A15" s="10" t="s">
        <v>325</v>
      </c>
      <c r="B15" s="10" t="s">
        <v>326</v>
      </c>
      <c r="C15" s="10" t="s">
        <v>327</v>
      </c>
      <c r="D15" s="11" t="s">
        <v>328</v>
      </c>
    </row>
    <row r="16" customFormat="false" ht="15" hidden="false" customHeight="false" outlineLevel="0" collapsed="false">
      <c r="A16" s="14" t="s">
        <v>325</v>
      </c>
      <c r="B16" s="14" t="s">
        <v>329</v>
      </c>
      <c r="C16" s="14" t="s">
        <v>330</v>
      </c>
      <c r="D16" s="15" t="s">
        <v>331</v>
      </c>
    </row>
    <row r="17" customFormat="false" ht="15" hidden="false" customHeight="false" outlineLevel="0" collapsed="false">
      <c r="A17" s="10" t="s">
        <v>332</v>
      </c>
      <c r="B17" s="10" t="s">
        <v>333</v>
      </c>
      <c r="C17" s="10" t="s">
        <v>297</v>
      </c>
      <c r="D17" s="11" t="s">
        <v>334</v>
      </c>
    </row>
    <row r="18" customFormat="false" ht="15" hidden="false" customHeight="false" outlineLevel="0" collapsed="false">
      <c r="A18" s="14" t="s">
        <v>332</v>
      </c>
      <c r="B18" s="14" t="s">
        <v>335</v>
      </c>
      <c r="C18" s="14" t="s">
        <v>300</v>
      </c>
      <c r="D18" s="15" t="s">
        <v>336</v>
      </c>
    </row>
    <row r="19" customFormat="false" ht="15" hidden="false" customHeight="false" outlineLevel="0" collapsed="false">
      <c r="A19" s="10" t="s">
        <v>337</v>
      </c>
      <c r="B19" s="10" t="s">
        <v>338</v>
      </c>
      <c r="C19" s="10" t="s">
        <v>339</v>
      </c>
      <c r="D19" s="11" t="s">
        <v>340</v>
      </c>
    </row>
    <row r="20" customFormat="false" ht="15" hidden="false" customHeight="false" outlineLevel="0" collapsed="false">
      <c r="A20" s="14" t="s">
        <v>337</v>
      </c>
      <c r="B20" s="14" t="s">
        <v>341</v>
      </c>
      <c r="C20" s="14" t="s">
        <v>342</v>
      </c>
      <c r="D20" s="15" t="s">
        <v>343</v>
      </c>
    </row>
    <row r="21" customFormat="false" ht="15" hidden="false" customHeight="false" outlineLevel="0" collapsed="false">
      <c r="A21" s="10" t="s">
        <v>337</v>
      </c>
      <c r="B21" s="10" t="s">
        <v>344</v>
      </c>
      <c r="C21" s="10" t="s">
        <v>345</v>
      </c>
      <c r="D21" s="11" t="s">
        <v>346</v>
      </c>
    </row>
    <row r="22" customFormat="false" ht="15" hidden="false" customHeight="false" outlineLevel="0" collapsed="false">
      <c r="A22" s="14" t="s">
        <v>337</v>
      </c>
      <c r="B22" s="14" t="s">
        <v>347</v>
      </c>
      <c r="C22" s="14" t="s">
        <v>348</v>
      </c>
      <c r="D22" s="15" t="s">
        <v>349</v>
      </c>
    </row>
    <row r="23" customFormat="false" ht="15" hidden="false" customHeight="false" outlineLevel="0" collapsed="false">
      <c r="A23" s="10" t="s">
        <v>337</v>
      </c>
      <c r="B23" s="10" t="s">
        <v>350</v>
      </c>
      <c r="C23" s="10" t="s">
        <v>351</v>
      </c>
      <c r="D23" s="11" t="s">
        <v>352</v>
      </c>
    </row>
    <row r="24" customFormat="false" ht="15" hidden="false" customHeight="false" outlineLevel="0" collapsed="false">
      <c r="A24" s="14" t="s">
        <v>337</v>
      </c>
      <c r="B24" s="14" t="s">
        <v>353</v>
      </c>
      <c r="C24" s="14" t="s">
        <v>354</v>
      </c>
      <c r="D24" s="15" t="s">
        <v>355</v>
      </c>
    </row>
    <row r="25" customFormat="false" ht="15" hidden="false" customHeight="false" outlineLevel="0" collapsed="false">
      <c r="A25" s="10" t="s">
        <v>337</v>
      </c>
      <c r="B25" s="10" t="s">
        <v>356</v>
      </c>
      <c r="C25" s="10" t="s">
        <v>312</v>
      </c>
      <c r="D25" s="11" t="s">
        <v>357</v>
      </c>
    </row>
    <row r="26" customFormat="false" ht="15" hidden="false" customHeight="false" outlineLevel="0" collapsed="false">
      <c r="A26" s="14" t="s">
        <v>358</v>
      </c>
      <c r="B26" s="14" t="s">
        <v>359</v>
      </c>
      <c r="C26" s="14" t="s">
        <v>360</v>
      </c>
      <c r="D26" s="15" t="s">
        <v>361</v>
      </c>
    </row>
    <row r="27" customFormat="false" ht="15" hidden="false" customHeight="false" outlineLevel="0" collapsed="false">
      <c r="A27" s="10" t="s">
        <v>362</v>
      </c>
      <c r="B27" s="10" t="s">
        <v>363</v>
      </c>
      <c r="C27" s="10" t="s">
        <v>364</v>
      </c>
      <c r="D27" s="11" t="s">
        <v>365</v>
      </c>
    </row>
    <row r="28" customFormat="false" ht="15" hidden="false" customHeight="false" outlineLevel="0" collapsed="false">
      <c r="A28" s="14" t="s">
        <v>366</v>
      </c>
      <c r="B28" s="14" t="s">
        <v>363</v>
      </c>
      <c r="C28" s="14" t="s">
        <v>364</v>
      </c>
      <c r="D28" s="15" t="s">
        <v>367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44"/>
  </cols>
  <sheetData>
    <row r="1" customFormat="false" ht="25.5" hidden="false" customHeight="true" outlineLevel="0" collapsed="false">
      <c r="A1" s="1" t="s">
        <v>368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369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9" t="s">
        <v>30</v>
      </c>
      <c r="B4" s="9" t="s">
        <v>29</v>
      </c>
      <c r="C4" s="9" t="s">
        <v>370</v>
      </c>
      <c r="D4" s="9" t="s">
        <v>371</v>
      </c>
      <c r="E4" s="9" t="s">
        <v>19</v>
      </c>
      <c r="F4" s="9" t="s">
        <v>372</v>
      </c>
      <c r="G4" s="9" t="s">
        <v>373</v>
      </c>
    </row>
    <row r="5" customFormat="false" ht="15" hidden="false" customHeight="false" outlineLevel="0" collapsed="false">
      <c r="A5" s="11" t="s">
        <v>41</v>
      </c>
      <c r="B5" s="10" t="s">
        <v>40</v>
      </c>
      <c r="C5" s="10" t="s">
        <v>374</v>
      </c>
      <c r="D5" s="10" t="s">
        <v>375</v>
      </c>
      <c r="E5" s="10" t="s">
        <v>376</v>
      </c>
      <c r="F5" s="10"/>
      <c r="G5" s="11" t="s">
        <v>377</v>
      </c>
    </row>
    <row r="6" customFormat="false" ht="15" hidden="false" customHeight="false" outlineLevel="0" collapsed="false">
      <c r="A6" s="15" t="s">
        <v>51</v>
      </c>
      <c r="B6" s="14" t="s">
        <v>50</v>
      </c>
      <c r="C6" s="14" t="s">
        <v>378</v>
      </c>
      <c r="D6" s="14" t="s">
        <v>379</v>
      </c>
      <c r="E6" s="14" t="s">
        <v>376</v>
      </c>
      <c r="F6" s="14"/>
      <c r="G6" s="15" t="s">
        <v>380</v>
      </c>
    </row>
    <row r="7" customFormat="false" ht="15" hidden="false" customHeight="false" outlineLevel="0" collapsed="false">
      <c r="A7" s="11" t="s">
        <v>57</v>
      </c>
      <c r="B7" s="10" t="s">
        <v>56</v>
      </c>
      <c r="C7" s="10" t="s">
        <v>381</v>
      </c>
      <c r="D7" s="10" t="s">
        <v>382</v>
      </c>
      <c r="E7" s="10" t="s">
        <v>383</v>
      </c>
      <c r="F7" s="10"/>
      <c r="G7" s="11" t="s">
        <v>384</v>
      </c>
    </row>
    <row r="8" customFormat="false" ht="15" hidden="false" customHeight="false" outlineLevel="0" collapsed="false">
      <c r="A8" s="15" t="s">
        <v>385</v>
      </c>
      <c r="B8" s="14" t="s">
        <v>60</v>
      </c>
      <c r="C8" s="14" t="s">
        <v>386</v>
      </c>
      <c r="D8" s="14" t="s">
        <v>387</v>
      </c>
      <c r="E8" s="14" t="s">
        <v>383</v>
      </c>
      <c r="F8" s="14"/>
      <c r="G8" s="15" t="s">
        <v>388</v>
      </c>
    </row>
    <row r="9" customFormat="false" ht="15" hidden="false" customHeight="false" outlineLevel="0" collapsed="false">
      <c r="A9" s="11" t="s">
        <v>65</v>
      </c>
      <c r="B9" s="10" t="s">
        <v>64</v>
      </c>
      <c r="C9" s="10" t="s">
        <v>378</v>
      </c>
      <c r="D9" s="10" t="s">
        <v>389</v>
      </c>
      <c r="E9" s="10" t="s">
        <v>383</v>
      </c>
      <c r="F9" s="10"/>
      <c r="G9" s="11" t="s">
        <v>390</v>
      </c>
    </row>
    <row r="10" customFormat="false" ht="15" hidden="false" customHeight="false" outlineLevel="0" collapsed="false">
      <c r="A10" s="15" t="s">
        <v>74</v>
      </c>
      <c r="B10" s="14" t="s">
        <v>73</v>
      </c>
      <c r="C10" s="14" t="s">
        <v>381</v>
      </c>
      <c r="D10" s="14" t="s">
        <v>391</v>
      </c>
      <c r="E10" s="14" t="s">
        <v>376</v>
      </c>
      <c r="F10" s="14"/>
      <c r="G10" s="15" t="s">
        <v>392</v>
      </c>
    </row>
    <row r="11" customFormat="false" ht="15" hidden="false" customHeight="false" outlineLevel="0" collapsed="false">
      <c r="A11" s="11" t="s">
        <v>226</v>
      </c>
      <c r="B11" s="10" t="s">
        <v>77</v>
      </c>
      <c r="C11" s="10" t="s">
        <v>393</v>
      </c>
      <c r="D11" s="10" t="s">
        <v>394</v>
      </c>
      <c r="E11" s="10" t="s">
        <v>376</v>
      </c>
      <c r="F11" s="10"/>
      <c r="G11" s="11" t="s">
        <v>395</v>
      </c>
    </row>
    <row r="12" customFormat="false" ht="15" hidden="false" customHeight="false" outlineLevel="0" collapsed="false">
      <c r="A12" s="15" t="s">
        <v>232</v>
      </c>
      <c r="B12" s="14" t="s">
        <v>83</v>
      </c>
      <c r="C12" s="14" t="s">
        <v>386</v>
      </c>
      <c r="D12" s="14" t="s">
        <v>396</v>
      </c>
      <c r="E12" s="14" t="s">
        <v>376</v>
      </c>
      <c r="F12" s="14"/>
      <c r="G12" s="15" t="s">
        <v>397</v>
      </c>
    </row>
    <row r="13" customFormat="false" ht="15" hidden="false" customHeight="false" outlineLevel="0" collapsed="false">
      <c r="A13" s="11" t="s">
        <v>89</v>
      </c>
      <c r="B13" s="10" t="s">
        <v>88</v>
      </c>
      <c r="C13" s="10" t="s">
        <v>398</v>
      </c>
      <c r="D13" s="10" t="s">
        <v>399</v>
      </c>
      <c r="E13" s="10" t="s">
        <v>376</v>
      </c>
      <c r="F13" s="20" t="s">
        <v>400</v>
      </c>
      <c r="G13" s="11" t="s">
        <v>401</v>
      </c>
    </row>
    <row r="14" customFormat="false" ht="15" hidden="false" customHeight="false" outlineLevel="0" collapsed="false">
      <c r="A14" s="15" t="s">
        <v>93</v>
      </c>
      <c r="B14" s="14" t="s">
        <v>92</v>
      </c>
      <c r="C14" s="14" t="s">
        <v>402</v>
      </c>
      <c r="D14" s="14" t="s">
        <v>394</v>
      </c>
      <c r="E14" s="14" t="s">
        <v>383</v>
      </c>
      <c r="F14" s="14"/>
      <c r="G14" s="15" t="s">
        <v>403</v>
      </c>
    </row>
    <row r="15" customFormat="false" ht="15" hidden="false" customHeight="false" outlineLevel="0" collapsed="false">
      <c r="A15" s="11" t="s">
        <v>251</v>
      </c>
      <c r="B15" s="10" t="s">
        <v>104</v>
      </c>
      <c r="C15" s="10" t="s">
        <v>378</v>
      </c>
      <c r="D15" s="10" t="s">
        <v>404</v>
      </c>
      <c r="E15" s="10" t="s">
        <v>383</v>
      </c>
      <c r="F15" s="10"/>
      <c r="G15" s="11" t="s">
        <v>405</v>
      </c>
    </row>
    <row r="16" customFormat="false" ht="15" hidden="false" customHeight="false" outlineLevel="0" collapsed="false">
      <c r="A16" s="15" t="s">
        <v>109</v>
      </c>
      <c r="B16" s="14" t="s">
        <v>108</v>
      </c>
      <c r="C16" s="14" t="s">
        <v>406</v>
      </c>
      <c r="D16" s="14" t="s">
        <v>394</v>
      </c>
      <c r="E16" s="14" t="s">
        <v>383</v>
      </c>
      <c r="F16" s="20" t="s">
        <v>407</v>
      </c>
      <c r="G16" s="15" t="s">
        <v>408</v>
      </c>
    </row>
    <row r="17" customFormat="false" ht="15" hidden="false" customHeight="false" outlineLevel="0" collapsed="false">
      <c r="A17" s="11" t="s">
        <v>409</v>
      </c>
      <c r="B17" s="10" t="s">
        <v>114</v>
      </c>
      <c r="C17" s="10" t="s">
        <v>398</v>
      </c>
      <c r="D17" s="10" t="s">
        <v>410</v>
      </c>
      <c r="E17" s="10" t="s">
        <v>383</v>
      </c>
      <c r="F17" s="20" t="s">
        <v>400</v>
      </c>
      <c r="G17" s="11" t="s">
        <v>411</v>
      </c>
    </row>
    <row r="18" customFormat="false" ht="15" hidden="false" customHeight="false" outlineLevel="0" collapsed="false">
      <c r="A18" s="15" t="s">
        <v>412</v>
      </c>
      <c r="B18" s="14" t="s">
        <v>119</v>
      </c>
      <c r="C18" s="14" t="s">
        <v>413</v>
      </c>
      <c r="D18" s="14" t="s">
        <v>394</v>
      </c>
      <c r="E18" s="14" t="s">
        <v>414</v>
      </c>
      <c r="F18" s="14"/>
      <c r="G18" s="15" t="s">
        <v>415</v>
      </c>
    </row>
    <row r="19" customFormat="false" ht="15" hidden="false" customHeight="false" outlineLevel="0" collapsed="false">
      <c r="A19" s="11" t="s">
        <v>126</v>
      </c>
      <c r="B19" s="10" t="s">
        <v>125</v>
      </c>
      <c r="C19" s="10" t="s">
        <v>386</v>
      </c>
      <c r="D19" s="10" t="s">
        <v>396</v>
      </c>
      <c r="E19" s="10" t="s">
        <v>383</v>
      </c>
      <c r="F19" s="10"/>
      <c r="G19" s="11" t="s">
        <v>416</v>
      </c>
    </row>
    <row r="20" customFormat="false" ht="15" hidden="false" customHeight="false" outlineLevel="0" collapsed="false">
      <c r="A20" s="15" t="s">
        <v>417</v>
      </c>
      <c r="B20" s="14" t="s">
        <v>135</v>
      </c>
      <c r="C20" s="14" t="s">
        <v>418</v>
      </c>
      <c r="D20" s="14" t="s">
        <v>394</v>
      </c>
      <c r="E20" s="14" t="s">
        <v>383</v>
      </c>
      <c r="F20" s="20" t="s">
        <v>419</v>
      </c>
      <c r="G20" s="15" t="s">
        <v>420</v>
      </c>
    </row>
    <row r="21" customFormat="false" ht="15" hidden="false" customHeight="false" outlineLevel="0" collapsed="false">
      <c r="A21" s="11" t="s">
        <v>284</v>
      </c>
      <c r="B21" s="10" t="s">
        <v>140</v>
      </c>
      <c r="C21" s="10" t="s">
        <v>381</v>
      </c>
      <c r="D21" s="10" t="s">
        <v>394</v>
      </c>
      <c r="E21" s="10" t="s">
        <v>376</v>
      </c>
      <c r="F21" s="10"/>
      <c r="G21" s="11" t="s">
        <v>421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1" t="s">
        <v>422</v>
      </c>
      <c r="B1" s="1"/>
      <c r="C1" s="1"/>
      <c r="D1" s="1"/>
    </row>
    <row r="2" customFormat="false" ht="15.75" hidden="false" customHeight="true" outlineLevel="0" collapsed="false">
      <c r="A2" s="2" t="s">
        <v>423</v>
      </c>
      <c r="B2" s="2"/>
      <c r="C2" s="2"/>
      <c r="D2" s="2"/>
    </row>
    <row r="4" customFormat="false" ht="15" hidden="false" customHeight="false" outlineLevel="0" collapsed="false">
      <c r="A4" s="9" t="s">
        <v>424</v>
      </c>
      <c r="B4" s="9" t="s">
        <v>425</v>
      </c>
      <c r="C4" s="9" t="s">
        <v>426</v>
      </c>
      <c r="D4" s="9" t="s">
        <v>427</v>
      </c>
    </row>
    <row r="5" customFormat="false" ht="15" hidden="false" customHeight="false" outlineLevel="0" collapsed="false">
      <c r="A5" s="21" t="s">
        <v>428</v>
      </c>
      <c r="B5" s="11" t="s">
        <v>429</v>
      </c>
      <c r="C5" s="11" t="s">
        <v>430</v>
      </c>
      <c r="D5" s="22" t="s">
        <v>431</v>
      </c>
    </row>
    <row r="6" customFormat="false" ht="15" hidden="false" customHeight="false" outlineLevel="0" collapsed="false">
      <c r="A6" s="21" t="s">
        <v>428</v>
      </c>
      <c r="B6" s="15" t="s">
        <v>432</v>
      </c>
      <c r="C6" s="15" t="s">
        <v>433</v>
      </c>
      <c r="D6" s="23" t="s">
        <v>434</v>
      </c>
    </row>
    <row r="7" customFormat="false" ht="15" hidden="false" customHeight="false" outlineLevel="0" collapsed="false">
      <c r="A7" s="21" t="s">
        <v>428</v>
      </c>
      <c r="B7" s="11" t="s">
        <v>435</v>
      </c>
      <c r="C7" s="11" t="s">
        <v>436</v>
      </c>
      <c r="D7" s="22" t="s">
        <v>437</v>
      </c>
    </row>
    <row r="8" customFormat="false" ht="15" hidden="false" customHeight="false" outlineLevel="0" collapsed="false">
      <c r="A8" s="21" t="s">
        <v>428</v>
      </c>
      <c r="B8" s="15" t="s">
        <v>438</v>
      </c>
      <c r="C8" s="15" t="s">
        <v>439</v>
      </c>
      <c r="D8" s="23" t="s">
        <v>440</v>
      </c>
    </row>
    <row r="9" customFormat="false" ht="15" hidden="false" customHeight="false" outlineLevel="0" collapsed="false">
      <c r="A9" s="21" t="s">
        <v>428</v>
      </c>
      <c r="B9" s="11" t="s">
        <v>441</v>
      </c>
      <c r="C9" s="11" t="s">
        <v>442</v>
      </c>
      <c r="D9" s="22" t="s">
        <v>443</v>
      </c>
    </row>
    <row r="10" customFormat="false" ht="15" hidden="false" customHeight="false" outlineLevel="0" collapsed="false">
      <c r="A10" s="21" t="s">
        <v>428</v>
      </c>
      <c r="B10" s="15" t="s">
        <v>444</v>
      </c>
      <c r="C10" s="15" t="s">
        <v>445</v>
      </c>
      <c r="D10" s="23" t="s">
        <v>446</v>
      </c>
    </row>
    <row r="11" customFormat="false" ht="15" hidden="false" customHeight="false" outlineLevel="0" collapsed="false">
      <c r="A11" s="21" t="s">
        <v>428</v>
      </c>
      <c r="B11" s="11" t="s">
        <v>447</v>
      </c>
      <c r="C11" s="11" t="s">
        <v>448</v>
      </c>
      <c r="D11" s="22" t="s">
        <v>449</v>
      </c>
    </row>
    <row r="12" customFormat="false" ht="15" hidden="false" customHeight="false" outlineLevel="0" collapsed="false">
      <c r="A12" s="21" t="s">
        <v>428</v>
      </c>
      <c r="B12" s="15" t="s">
        <v>450</v>
      </c>
      <c r="C12" s="15" t="s">
        <v>451</v>
      </c>
      <c r="D12" s="23" t="s">
        <v>452</v>
      </c>
    </row>
    <row r="13" customFormat="false" ht="15" hidden="false" customHeight="false" outlineLevel="0" collapsed="false">
      <c r="A13" s="21" t="s">
        <v>428</v>
      </c>
      <c r="B13" s="11" t="s">
        <v>453</v>
      </c>
      <c r="C13" s="11" t="s">
        <v>454</v>
      </c>
      <c r="D13" s="22" t="s">
        <v>455</v>
      </c>
    </row>
    <row r="14" customFormat="false" ht="15" hidden="false" customHeight="false" outlineLevel="0" collapsed="false">
      <c r="A14" s="21" t="s">
        <v>428</v>
      </c>
      <c r="B14" s="15" t="s">
        <v>456</v>
      </c>
      <c r="C14" s="15" t="s">
        <v>457</v>
      </c>
      <c r="D14" s="23" t="s">
        <v>458</v>
      </c>
    </row>
    <row r="15" customFormat="false" ht="15" hidden="false" customHeight="false" outlineLevel="0" collapsed="false">
      <c r="A15" s="21" t="s">
        <v>428</v>
      </c>
      <c r="B15" s="11" t="s">
        <v>459</v>
      </c>
      <c r="C15" s="11" t="s">
        <v>460</v>
      </c>
      <c r="D15" s="22" t="s">
        <v>461</v>
      </c>
    </row>
    <row r="16" customFormat="false" ht="15" hidden="false" customHeight="false" outlineLevel="0" collapsed="false">
      <c r="A16" s="21" t="s">
        <v>428</v>
      </c>
      <c r="B16" s="15" t="s">
        <v>462</v>
      </c>
      <c r="C16" s="15" t="s">
        <v>463</v>
      </c>
      <c r="D16" s="23" t="s">
        <v>464</v>
      </c>
    </row>
    <row r="17" customFormat="false" ht="15" hidden="false" customHeight="false" outlineLevel="0" collapsed="false">
      <c r="A17" s="21" t="s">
        <v>428</v>
      </c>
      <c r="B17" s="11" t="s">
        <v>465</v>
      </c>
      <c r="C17" s="11" t="s">
        <v>466</v>
      </c>
      <c r="D17" s="22" t="s">
        <v>467</v>
      </c>
    </row>
    <row r="18" customFormat="false" ht="15" hidden="false" customHeight="false" outlineLevel="0" collapsed="false">
      <c r="A18" s="21" t="s">
        <v>428</v>
      </c>
      <c r="B18" s="15" t="s">
        <v>468</v>
      </c>
      <c r="C18" s="15" t="s">
        <v>469</v>
      </c>
      <c r="D18" s="23" t="s">
        <v>470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2026-07-01T11:51:51Z</dcterms:created>
  <dc:creator>openpyxl</dc:creator>
  <dc:description/>
  <dc:language>en-US</dc:language>
  <cp:lastModifiedBy/>
  <dcterms:modified xsi:type="dcterms:W3CDTF">2026-07-01T11:51:51Z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